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1. 2026\2. AGR_model_wyizolowany\"/>
    </mc:Choice>
  </mc:AlternateContent>
  <xr:revisionPtr revIDLastSave="0" documentId="13_ncr:1_{7DAD6907-FF2C-4C04-8170-EB4B769AE67D}" xr6:coauthVersionLast="47" xr6:coauthVersionMax="47" xr10:uidLastSave="{00000000-0000-0000-0000-000000000000}"/>
  <bookViews>
    <workbookView xWindow="-120" yWindow="-120" windowWidth="38640" windowHeight="21120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155" l="1"/>
  <c r="H44" i="155" s="1"/>
  <c r="D21" i="155" s="1"/>
  <c r="E21" i="155" s="1"/>
  <c r="F21" i="155" s="1"/>
  <c r="G21" i="155" s="1"/>
  <c r="H21" i="155" s="1"/>
  <c r="I21" i="155" s="1"/>
  <c r="J21" i="155" s="1"/>
  <c r="G46" i="155"/>
  <c r="H46" i="155" s="1"/>
  <c r="D16" i="155" s="1"/>
  <c r="E16" i="155" s="1"/>
  <c r="F16" i="155" s="1"/>
  <c r="G16" i="155" s="1"/>
  <c r="H16" i="155" s="1"/>
  <c r="I16" i="155" s="1"/>
  <c r="J16" i="155" s="1"/>
  <c r="G48" i="155"/>
  <c r="H48" i="155" s="1"/>
  <c r="D20" i="155" s="1"/>
  <c r="E20" i="155" s="1"/>
  <c r="F20" i="155" s="1"/>
  <c r="G20" i="155" s="1"/>
  <c r="H20" i="155" s="1"/>
  <c r="I20" i="155" s="1"/>
  <c r="J20" i="155" s="1"/>
  <c r="G50" i="155"/>
  <c r="H50" i="155" s="1"/>
  <c r="D19" i="155" s="1"/>
  <c r="E19" i="155" s="1"/>
  <c r="F19" i="155" s="1"/>
  <c r="G19" i="155" s="1"/>
  <c r="H19" i="155" s="1"/>
  <c r="I19" i="155" s="1"/>
  <c r="J19" i="155" s="1"/>
  <c r="G52" i="155"/>
  <c r="H52" i="155" s="1"/>
  <c r="D18" i="155" s="1"/>
  <c r="E18" i="155" s="1"/>
  <c r="F18" i="155" s="1"/>
  <c r="G18" i="155" s="1"/>
  <c r="H18" i="155" s="1"/>
  <c r="I18" i="155" s="1"/>
  <c r="J18" i="155" s="1"/>
  <c r="G54" i="155"/>
  <c r="H54" i="155" s="1"/>
  <c r="D17" i="155" s="1"/>
  <c r="E17" i="155" s="1"/>
  <c r="F17" i="155" s="1"/>
  <c r="G17" i="155" s="1"/>
  <c r="H17" i="155" s="1"/>
  <c r="I17" i="155" s="1"/>
  <c r="J17" i="155" s="1"/>
  <c r="G56" i="155"/>
  <c r="H56" i="155" s="1"/>
  <c r="G58" i="155"/>
  <c r="H58" i="155" s="1"/>
  <c r="G60" i="155"/>
  <c r="H60" i="155" s="1"/>
  <c r="D25" i="155" s="1"/>
  <c r="E25" i="155" s="1"/>
  <c r="F25" i="155" s="1"/>
  <c r="G25" i="155" s="1"/>
  <c r="H25" i="155" s="1"/>
  <c r="I25" i="155" s="1"/>
  <c r="J25" i="155" s="1"/>
  <c r="G62" i="155"/>
  <c r="H62" i="155" s="1"/>
  <c r="D26" i="155" s="1"/>
  <c r="E26" i="155" s="1"/>
  <c r="F26" i="155" s="1"/>
  <c r="G26" i="155" s="1"/>
  <c r="H26" i="155" s="1"/>
  <c r="I26" i="155" s="1"/>
  <c r="J26" i="155" s="1"/>
  <c r="G64" i="155"/>
  <c r="H64" i="155" s="1"/>
  <c r="D24" i="155" s="1"/>
  <c r="E24" i="155" s="1"/>
  <c r="F24" i="155" s="1"/>
  <c r="G24" i="155" s="1"/>
  <c r="H24" i="155" s="1"/>
  <c r="I24" i="155" s="1"/>
  <c r="J24" i="155" s="1"/>
  <c r="G66" i="155"/>
  <c r="H66" i="155" s="1"/>
  <c r="D23" i="155" s="1"/>
  <c r="E23" i="155" s="1"/>
  <c r="F23" i="155" s="1"/>
  <c r="G23" i="155" s="1"/>
  <c r="H23" i="155" s="1"/>
  <c r="I23" i="155" s="1"/>
  <c r="J23" i="155" s="1"/>
  <c r="G42" i="155"/>
  <c r="H42" i="155" s="1"/>
  <c r="D15" i="155" s="1"/>
  <c r="E15" i="155" s="1"/>
  <c r="F15" i="155" s="1"/>
  <c r="G15" i="155" s="1"/>
  <c r="H15" i="155" s="1"/>
  <c r="I15" i="155" s="1"/>
  <c r="J15" i="155" s="1"/>
  <c r="E27" i="155"/>
  <c r="F27" i="155" s="1"/>
  <c r="G27" i="155" s="1"/>
  <c r="H27" i="155" s="1"/>
  <c r="I27" i="155" s="1"/>
  <c r="J27" i="155" s="1"/>
  <c r="E28" i="155"/>
  <c r="F28" i="155" s="1"/>
  <c r="G28" i="155" s="1"/>
  <c r="H28" i="155" s="1"/>
  <c r="I28" i="155" s="1"/>
  <c r="J28" i="155" s="1"/>
  <c r="D13" i="155"/>
  <c r="E13" i="155" s="1"/>
  <c r="F13" i="155" s="1"/>
  <c r="G13" i="155" s="1"/>
  <c r="H13" i="155" s="1"/>
  <c r="I13" i="155" s="1"/>
  <c r="J13" i="155" s="1"/>
  <c r="D12" i="155"/>
  <c r="E12" i="155" s="1"/>
  <c r="F12" i="155" s="1"/>
  <c r="G12" i="155" s="1"/>
  <c r="H12" i="155" s="1"/>
  <c r="I12" i="155" s="1"/>
  <c r="J12" i="155" s="1"/>
  <c r="D11" i="155"/>
  <c r="E11" i="155" s="1"/>
  <c r="F11" i="155" s="1"/>
  <c r="G11" i="155" s="1"/>
  <c r="H11" i="155" s="1"/>
  <c r="I11" i="155" s="1"/>
  <c r="J11" i="155" s="1"/>
  <c r="D10" i="155"/>
  <c r="E10" i="155" s="1"/>
  <c r="F10" i="155" s="1"/>
  <c r="G10" i="155" s="1"/>
  <c r="H10" i="155" s="1"/>
  <c r="I10" i="155" s="1"/>
  <c r="J10" i="155" s="1"/>
  <c r="D9" i="155"/>
  <c r="E9" i="155" s="1"/>
  <c r="F9" i="155" s="1"/>
  <c r="G9" i="155" s="1"/>
  <c r="H9" i="155" s="1"/>
  <c r="I9" i="155" s="1"/>
  <c r="J9" i="155" s="1"/>
  <c r="D8" i="155"/>
  <c r="E8" i="155" s="1"/>
  <c r="F8" i="155" s="1"/>
  <c r="G8" i="155" s="1"/>
  <c r="H8" i="155" s="1"/>
  <c r="I8" i="155" s="1"/>
  <c r="J8" i="155" s="1"/>
  <c r="D22" i="155" l="1"/>
  <c r="E22" i="155" s="1"/>
  <c r="F22" i="155" s="1"/>
  <c r="G22" i="155" s="1"/>
  <c r="H22" i="155" s="1"/>
  <c r="I22" i="155" s="1"/>
  <c r="J22" i="155" s="1"/>
  <c r="B11" i="139"/>
  <c r="E11" i="139"/>
  <c r="B7" i="139" l="1"/>
  <c r="E10" i="1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  <author>tc={75EE449B-1191-42E9-9288-D8EEF162166B}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charset val="1"/>
          </rPr>
          <t>Patrycja Rzeszut:</t>
        </r>
        <r>
          <rPr>
            <sz val="9"/>
            <color indexed="81"/>
            <rFont val="Tahoma"/>
            <charset val="1"/>
          </rPr>
          <t xml:space="preserve">
Zapotrzebowanie zmienione z areału [kha] na plony [kt] 
21.09.2026</t>
        </r>
      </text>
    </comment>
    <comment ref="I75" authorId="1" shapeId="0" xr:uid="{75EE449B-1191-42E9-9288-D8EEF162166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dla 2020r. - pobrano dane z odpowiadającego dokumentu dla roku 2022.</t>
      </text>
    </comment>
  </commentList>
</comments>
</file>

<file path=xl/sharedStrings.xml><?xml version="1.0" encoding="utf-8"?>
<sst xmlns="http://schemas.openxmlformats.org/spreadsheetml/2006/main" count="279" uniqueCount="189">
  <si>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</si>
  <si>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</si>
  <si>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</si>
  <si>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</si>
  <si>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</si>
  <si>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</si>
  <si>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</si>
  <si>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</si>
  <si>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</si>
  <si>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</si>
  <si>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</si>
  <si>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</si>
  <si>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</si>
  <si>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</si>
  <si>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</si>
  <si>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</si>
  <si>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</si>
  <si>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</si>
  <si>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</si>
  <si>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</si>
  <si>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</si>
  <si>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</si>
  <si>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</si>
  <si>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</si>
  <si>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</si>
  <si>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</si>
  <si>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</si>
  <si>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</si>
  <si>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</si>
  <si>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</si>
  <si>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</si>
  <si>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</si>
  <si>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</si>
  <si>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</si>
  <si>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</si>
  <si>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</si>
  <si>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</si>
  <si>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</si>
  <si>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</si>
  <si>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</si>
  <si>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</si>
  <si>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</si>
  <si>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</si>
  <si>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</si>
  <si>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</si>
  <si>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</si>
  <si>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</si>
  <si>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</si>
  <si>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</si>
  <si>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</si>
  <si>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</si>
  <si>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</si>
  <si>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</si>
  <si>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</si>
  <si>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</si>
  <si>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</si>
  <si>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</si>
  <si>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</si>
  <si>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</si>
  <si>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</si>
  <si>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</si>
  <si>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</si>
  <si>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</si>
  <si>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</si>
  <si>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</si>
  <si>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</si>
  <si>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</si>
  <si>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</si>
  <si>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</si>
  <si>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</si>
  <si>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</si>
  <si>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</si>
  <si>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</si>
  <si>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</si>
  <si>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</si>
  <si>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</si>
  <si>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</si>
  <si>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</si>
  <si>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AGR_DEM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</si>
  <si>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</si>
  <si>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</si>
  <si>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</si>
  <si>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</si>
  <si>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</si>
  <si>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</si>
  <si>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</si>
  <si>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</si>
  <si>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</si>
  <si>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</si>
  <si>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</si>
  <si>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</si>
  <si>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</si>
  <si>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</si>
  <si>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</si>
  <si>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</si>
  <si>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</si>
  <si>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</si>
  <si>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</si>
  <si>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</si>
  <si>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</si>
  <si>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</si>
  <si>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</si>
  <si>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</si>
  <si>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</si>
  <si>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</si>
  <si>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</si>
  <si>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</si>
  <si>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</si>
  <si>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</si>
  <si>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</si>
  <si>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</si>
  <si>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</si>
  <si>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</si>
  <si>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</si>
  <si>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</si>
  <si>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</si>
  <si>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</si>
  <si>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</si>
  <si>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</si>
  <si>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</si>
  <si>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</si>
  <si>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</si>
  <si>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</si>
  <si>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</si>
  <si>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</si>
  <si>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</si>
  <si>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</si>
  <si>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</si>
  <si>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</si>
  <si>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</si>
  <si>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</si>
  <si>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</si>
  <si>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</si>
  <si>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</si>
  <si>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</si>
  <si>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</si>
  <si>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</si>
  <si>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</si>
  <si>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</si>
  <si>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</si>
  <si>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</si>
  <si>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</si>
  <si>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</si>
  <si>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</si>
  <si>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</si>
  <si>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</si>
  <si>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</si>
  <si>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</si>
  <si>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</si>
  <si>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</si>
  <si>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</si>
  <si>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</si>
  <si>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</si>
  <si>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</si>
  <si>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</si>
  <si>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</si>
  <si>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</si>
  <si>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</si>
  <si>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</si>
  <si>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</si>
  <si>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</si>
  <si>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</si>
  <si>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</si>
  <si>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</si>
  <si>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</si>
  <si>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</si>
  <si>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</si>
  <si>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</si>
  <si>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</si>
  <si>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</si>
  <si>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</si>
  <si>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</si>
  <si>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</si>
  <si>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</si>
  <si>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</si>
  <si>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</si>
  <si>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</si>
  <si>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</si>
  <si>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</si>
  <si>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</si>
  <si>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</si>
  <si>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</si>
  <si>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Produkcja upraw rolnych i ogrodniczych w 2024 r.</t>
  </si>
  <si>
    <t>Zwierzęta gospodarskie w 2024 r.</t>
  </si>
  <si>
    <t>kt/kha</t>
  </si>
  <si>
    <t>kt</t>
  </si>
  <si>
    <t>crop in kt</t>
  </si>
  <si>
    <t>PRI_BIOG_AGR</t>
  </si>
  <si>
    <t>PRI_BIO_CH4_AGR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</si>
</sst>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1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5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71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0" fontId="14" fillId="3" borderId="0" xfId="19" applyFill="1"/>
    <xf numFmtId="0" fontId="14" fillId="3" borderId="0" xfId="0" applyFont="1" applyFill="1"/>
    <xf numFmtId="4" fontId="14" fillId="3" borderId="0" xfId="0" applyNumberFormat="1" applyFont="1" applyFill="1"/>
    <xf numFmtId="4" fontId="14" fillId="3" borderId="0" xfId="14" applyNumberFormat="1" applyFill="1"/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14" fillId="3" borderId="23" xfId="14" applyFill="1" applyBorder="1"/>
    <xf numFmtId="0" fontId="14" fillId="3" borderId="24" xfId="14" applyFill="1" applyBorder="1" applyAlignment="1">
      <alignment wrapText="1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trycja Rzeszut" id="{7AFA507A-0B28-4B68-9CA2-DAF5F4D8282E}" userId="S::przeszut@agh.edu.pl::0d04f1b8-d0cf-4692-9c24-d678933fb5d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5" dT="2025-10-21T08:46:14.13" personId="{7AFA507A-0B28-4B68-9CA2-DAF5F4D8282E}" id="{75EE449B-1191-42E9-9288-D8EEF162166B}">
    <text>Brak danych dla 2020r. - pobrano dane z odpowiadającego dokumentu dla roku 2022.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40625" defaultRowHeight="18.75"/>
  <cols>
    <col min="1" max="3" width="4" style="51" customWidth="1"/>
    <col min="4" max="9" width="14.28515625" style="51" customWidth="1"/>
    <col min="10" max="12" width="4" style="51" customWidth="1"/>
    <col min="13" max="16384" width="9.140625" style="51"/>
  </cols>
  <sheetData>
    <row r="1" spans="1:15" ht="22.7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7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7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68" t="s">
        <v>0</v>
      </c>
      <c r="E14" s="168"/>
      <c r="F14" s="169" t="s">
        <v>1</v>
      </c>
      <c r="G14" s="169"/>
      <c r="H14" s="169"/>
      <c r="J14" s="41"/>
      <c r="K14" s="43"/>
      <c r="L14" s="52"/>
    </row>
    <row r="15" spans="1:15">
      <c r="A15" s="52"/>
      <c r="B15" s="47"/>
      <c r="C15" s="42"/>
      <c r="D15" s="39"/>
      <c r="E15" s="39"/>
      <c r="F15" s="169"/>
      <c r="G15" s="169"/>
      <c r="H15" s="169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68" t="s">
        <v>2</v>
      </c>
      <c r="E18" s="168"/>
      <c r="F18" s="169" t="s">
        <v>3</v>
      </c>
      <c r="G18" s="169"/>
      <c r="H18" s="169"/>
      <c r="I18" s="169"/>
      <c r="J18" s="41"/>
      <c r="K18" s="43"/>
      <c r="L18" s="52"/>
    </row>
    <row r="19" spans="1:12">
      <c r="A19" s="52"/>
      <c r="B19" s="47"/>
      <c r="C19" s="42"/>
      <c r="D19" s="39"/>
      <c r="E19" s="39"/>
      <c r="F19" s="169"/>
      <c r="G19" s="169"/>
      <c r="H19" s="169"/>
      <c r="I19" s="169"/>
      <c r="J19" s="41"/>
      <c r="K19" s="43"/>
      <c r="L19" s="52"/>
    </row>
    <row r="20" spans="1:12">
      <c r="A20" s="52"/>
      <c r="B20" s="47"/>
      <c r="C20" s="42"/>
      <c r="D20" s="39"/>
      <c r="E20" s="39"/>
      <c r="F20" s="169"/>
      <c r="G20" s="169"/>
      <c r="H20" s="169"/>
      <c r="I20" s="169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68" t="s">
        <v>4</v>
      </c>
      <c r="E22" s="168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68" t="s">
        <v>6</v>
      </c>
      <c r="E28" s="168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68" t="s">
        <v>9</v>
      </c>
      <c r="E32" s="168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7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7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5" customHeight="1"/>
    <row r="49" ht="64.150000000000006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40625" defaultRowHeight="12.75"/>
  <cols>
    <col min="1" max="3" width="4" style="29" customWidth="1"/>
    <col min="4" max="4" width="23.42578125" style="29" customWidth="1"/>
    <col min="5" max="5" width="34.85546875" style="29" customWidth="1"/>
    <col min="6" max="6" width="58.140625" style="29" customWidth="1"/>
    <col min="7" max="9" width="4" style="29" customWidth="1"/>
    <col min="10" max="16384" width="9.140625" style="29"/>
  </cols>
  <sheetData>
    <row r="1" spans="1:9" ht="22.7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7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.75">
      <c r="A3" s="52"/>
      <c r="B3" s="47"/>
      <c r="C3" s="46"/>
      <c r="D3" s="45"/>
      <c r="E3" s="45"/>
      <c r="F3" s="45"/>
      <c r="G3" s="44"/>
      <c r="H3" s="43"/>
      <c r="I3" s="52"/>
    </row>
    <row r="4" spans="1:9" ht="18.75">
      <c r="A4" s="52"/>
      <c r="B4" s="47"/>
      <c r="C4" s="42"/>
      <c r="D4" s="170" t="s">
        <v>11</v>
      </c>
      <c r="E4" s="170"/>
      <c r="F4" s="170"/>
      <c r="G4" s="41"/>
      <c r="H4" s="43"/>
      <c r="I4" s="52"/>
    </row>
    <row r="5" spans="1:9" ht="18.75">
      <c r="A5" s="52"/>
      <c r="B5" s="47"/>
      <c r="C5" s="42"/>
      <c r="D5" s="28"/>
      <c r="E5" s="28"/>
      <c r="F5" s="28"/>
      <c r="G5" s="41"/>
      <c r="H5" s="43"/>
      <c r="I5" s="52"/>
    </row>
    <row r="6" spans="1:9" ht="18.75">
      <c r="A6" s="52"/>
      <c r="B6" s="47"/>
      <c r="C6" s="42"/>
      <c r="D6" s="140" t="s">
        <v>145</v>
      </c>
      <c r="E6" s="139"/>
      <c r="F6" s="139"/>
      <c r="G6" s="41"/>
      <c r="H6" s="43"/>
      <c r="I6" s="52"/>
    </row>
    <row r="7" spans="1:9" ht="18.75">
      <c r="A7" s="52"/>
      <c r="B7" s="47"/>
      <c r="C7" s="42"/>
      <c r="D7" s="138"/>
      <c r="E7" s="137"/>
      <c r="F7" s="137"/>
      <c r="G7" s="41"/>
      <c r="H7" s="43"/>
      <c r="I7" s="52"/>
    </row>
    <row r="8" spans="1:9" ht="18.75">
      <c r="A8" s="52"/>
      <c r="B8" s="47"/>
      <c r="C8" s="42"/>
      <c r="D8" s="141" t="s">
        <v>146</v>
      </c>
      <c r="E8" s="141" t="s">
        <v>147</v>
      </c>
      <c r="F8" s="141" t="s">
        <v>148</v>
      </c>
      <c r="G8" s="41"/>
      <c r="H8" s="43"/>
      <c r="I8" s="52"/>
    </row>
    <row r="9" spans="1:9" ht="18.75">
      <c r="A9" s="52"/>
      <c r="B9" s="47"/>
      <c r="C9" s="42"/>
      <c r="D9" s="136" t="s">
        <v>152</v>
      </c>
      <c r="E9" s="142" t="s">
        <v>149</v>
      </c>
      <c r="F9" s="136" t="s">
        <v>150</v>
      </c>
      <c r="G9" s="41"/>
      <c r="H9" s="43"/>
      <c r="I9" s="52"/>
    </row>
    <row r="10" spans="1:9" ht="18.75">
      <c r="A10" s="52"/>
      <c r="B10" s="47"/>
      <c r="C10" s="42"/>
      <c r="D10" s="136" t="s">
        <v>153</v>
      </c>
      <c r="E10" s="142" t="s">
        <v>149</v>
      </c>
      <c r="F10" s="136" t="s">
        <v>151</v>
      </c>
      <c r="G10" s="41"/>
      <c r="H10" s="43"/>
      <c r="I10" s="52"/>
    </row>
    <row r="11" spans="1:9" ht="18.75">
      <c r="A11" s="52"/>
      <c r="B11" s="47"/>
      <c r="C11" s="42"/>
      <c r="D11" s="136" t="s">
        <v>154</v>
      </c>
      <c r="E11" s="142" t="s">
        <v>149</v>
      </c>
      <c r="F11" s="136" t="s">
        <v>162</v>
      </c>
      <c r="G11" s="41"/>
      <c r="H11" s="43"/>
      <c r="I11" s="52"/>
    </row>
    <row r="12" spans="1:9" ht="18.75">
      <c r="A12" s="52"/>
      <c r="B12" s="47"/>
      <c r="C12" s="42"/>
      <c r="D12" s="136" t="s">
        <v>155</v>
      </c>
      <c r="E12" s="142" t="s">
        <v>149</v>
      </c>
      <c r="F12" s="136" t="s">
        <v>162</v>
      </c>
      <c r="G12" s="41"/>
      <c r="H12" s="43"/>
      <c r="I12" s="52"/>
    </row>
    <row r="13" spans="1:9" ht="18.75">
      <c r="A13" s="52"/>
      <c r="B13" s="47"/>
      <c r="C13" s="42"/>
      <c r="D13" s="136" t="s">
        <v>156</v>
      </c>
      <c r="E13" s="142" t="s">
        <v>149</v>
      </c>
      <c r="F13" s="136" t="s">
        <v>162</v>
      </c>
      <c r="G13" s="41"/>
      <c r="H13" s="43"/>
      <c r="I13" s="52"/>
    </row>
    <row r="14" spans="1:9" ht="18.75">
      <c r="A14" s="52"/>
      <c r="B14" s="47"/>
      <c r="C14" s="42"/>
      <c r="D14" s="136" t="s">
        <v>157</v>
      </c>
      <c r="E14" s="27" t="s">
        <v>149</v>
      </c>
      <c r="F14" s="136" t="s">
        <v>162</v>
      </c>
      <c r="G14" s="41"/>
      <c r="H14" s="43"/>
      <c r="I14" s="52"/>
    </row>
    <row r="15" spans="1:9" ht="18.75">
      <c r="A15" s="52"/>
      <c r="B15" s="47"/>
      <c r="C15" s="42"/>
      <c r="D15" s="136" t="s">
        <v>158</v>
      </c>
      <c r="E15" s="27" t="s">
        <v>163</v>
      </c>
      <c r="F15" s="26"/>
      <c r="G15" s="41"/>
      <c r="H15" s="43"/>
      <c r="I15" s="52"/>
    </row>
    <row r="16" spans="1:9" ht="18.75">
      <c r="A16" s="52"/>
      <c r="B16" s="47"/>
      <c r="C16" s="42"/>
      <c r="D16" s="136" t="s">
        <v>159</v>
      </c>
      <c r="E16" s="27" t="s">
        <v>163</v>
      </c>
      <c r="F16" s="26"/>
      <c r="G16" s="41"/>
      <c r="H16" s="43"/>
      <c r="I16" s="52"/>
    </row>
    <row r="17" spans="1:9" ht="18.75">
      <c r="A17" s="52"/>
      <c r="B17" s="47"/>
      <c r="C17" s="42"/>
      <c r="D17" s="136" t="s">
        <v>160</v>
      </c>
      <c r="E17" s="27" t="s">
        <v>163</v>
      </c>
      <c r="F17" s="26"/>
      <c r="G17" s="41"/>
      <c r="H17" s="43"/>
      <c r="I17" s="52"/>
    </row>
    <row r="18" spans="1:9" ht="18.75">
      <c r="A18" s="52"/>
      <c r="B18" s="47"/>
      <c r="C18" s="42"/>
      <c r="D18" s="136" t="s">
        <v>161</v>
      </c>
      <c r="E18" s="27" t="s">
        <v>149</v>
      </c>
      <c r="F18" s="26"/>
      <c r="G18" s="41"/>
      <c r="H18" s="43"/>
      <c r="I18" s="52"/>
    </row>
    <row r="19" spans="1:9" ht="18.75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.75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.75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.75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.75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.75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.75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.75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.75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.75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.75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.75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.75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.75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.75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.75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.75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.75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.75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.75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7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7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2.75"/>
  <cols>
    <col min="1" max="1" width="2.85546875" customWidth="1"/>
    <col min="2" max="3" width="15" customWidth="1"/>
    <col min="4" max="4" width="26.7109375" bestFit="1" customWidth="1"/>
    <col min="5" max="5" width="39.28515625" bestFit="1" customWidth="1"/>
    <col min="6" max="6" width="10" customWidth="1"/>
    <col min="7" max="7" width="11.42578125" bestFit="1" customWidth="1"/>
    <col min="8" max="8" width="12" customWidth="1"/>
    <col min="9" max="9" width="14.28515625" customWidth="1"/>
    <col min="10" max="10" width="12.85546875" customWidth="1"/>
    <col min="11" max="11" width="10.42578125" customWidth="1"/>
    <col min="12" max="13" width="10.7109375" bestFit="1" customWidth="1"/>
  </cols>
  <sheetData>
    <row r="2" spans="2:10" ht="18">
      <c r="B2" s="64" t="s">
        <v>165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39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172</v>
      </c>
      <c r="E7" s="14" t="s">
        <v>174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173</v>
      </c>
      <c r="E8" s="21" t="s">
        <v>167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1" t="s">
        <v>175</v>
      </c>
      <c r="E9" s="18" t="s">
        <v>178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1" t="s">
        <v>176</v>
      </c>
      <c r="E10" s="16" t="s">
        <v>180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4" t="s">
        <v>30</v>
      </c>
      <c r="C11" s="144" t="s">
        <v>31</v>
      </c>
      <c r="D11" s="152" t="s">
        <v>177</v>
      </c>
      <c r="E11" s="144" t="s">
        <v>179</v>
      </c>
      <c r="F11" s="144" t="s">
        <v>34</v>
      </c>
      <c r="G11" s="145"/>
      <c r="H11" s="145"/>
      <c r="I11" s="146"/>
      <c r="J11" s="146"/>
    </row>
    <row r="24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2.75"/>
  <cols>
    <col min="1" max="1" width="2.85546875" customWidth="1"/>
    <col min="2" max="2" width="20.85546875" customWidth="1"/>
    <col min="3" max="3" width="14.42578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64" t="s">
        <v>164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39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168</v>
      </c>
      <c r="E7" s="14" t="s">
        <v>170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169</v>
      </c>
      <c r="E8" s="10" t="s">
        <v>171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7" width="19.85546875" customWidth="1"/>
    <col min="8" max="8" width="17.140625" customWidth="1"/>
    <col min="9" max="9" width="16.140625" customWidth="1"/>
  </cols>
  <sheetData>
    <row r="2" spans="2:12" ht="18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181</v>
      </c>
      <c r="H5" s="8" t="s">
        <v>62</v>
      </c>
      <c r="I5" s="8" t="s">
        <v>63</v>
      </c>
    </row>
    <row r="6" spans="2:12" ht="26.25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3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7" t="str">
        <f>DMD_Processes!D8</f>
        <v>DMD_HT_DH_FIN_ADD</v>
      </c>
      <c r="C11" s="147"/>
      <c r="D11" s="148" t="s">
        <v>74</v>
      </c>
      <c r="E11" s="147" t="str">
        <f>DMD_Comm!D8</f>
        <v>PL_DEM_HT_DH_FIN_ADD</v>
      </c>
      <c r="F11" s="147"/>
      <c r="G11" s="147"/>
      <c r="H11" s="149">
        <v>1</v>
      </c>
      <c r="I11" s="149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S84"/>
  <sheetViews>
    <sheetView tabSelected="1" zoomScale="115" zoomScaleNormal="115" zoomScaleSheetLayoutView="50" workbookViewId="0">
      <selection activeCell="K33" sqref="K33"/>
    </sheetView>
  </sheetViews>
  <sheetFormatPr defaultColWidth="9.140625" defaultRowHeight="12.75"/>
  <cols>
    <col min="1" max="1" width="9" style="72" bestFit="1" customWidth="1"/>
    <col min="2" max="2" width="43.140625" style="72" customWidth="1"/>
    <col min="3" max="3" width="15.42578125" style="72" customWidth="1"/>
    <col min="4" max="4" width="15.7109375" style="72" customWidth="1"/>
    <col min="5" max="6" width="13" style="72" bestFit="1" customWidth="1"/>
    <col min="7" max="7" width="12.85546875" style="72" customWidth="1"/>
    <col min="8" max="8" width="13" style="72" bestFit="1" customWidth="1"/>
    <col min="9" max="9" width="12.85546875" style="72" customWidth="1"/>
    <col min="10" max="10" width="10.140625" style="72" bestFit="1" customWidth="1"/>
    <col min="11" max="16384" width="9.140625" style="72"/>
  </cols>
  <sheetData>
    <row r="2" spans="1:10">
      <c r="A2" s="63"/>
      <c r="B2" s="63"/>
      <c r="C2" s="63"/>
      <c r="D2" s="63"/>
      <c r="E2" s="63"/>
    </row>
    <row r="3" spans="1:10">
      <c r="B3" s="65" t="s">
        <v>76</v>
      </c>
      <c r="C3" s="65"/>
      <c r="D3" s="63"/>
    </row>
    <row r="4" spans="1:10">
      <c r="B4" s="132" t="s">
        <v>15</v>
      </c>
      <c r="C4" s="132" t="s">
        <v>14</v>
      </c>
      <c r="D4" s="132">
        <v>2024</v>
      </c>
      <c r="E4" s="132">
        <v>2025</v>
      </c>
      <c r="F4" s="132">
        <v>2030</v>
      </c>
      <c r="G4" s="132">
        <v>2035</v>
      </c>
      <c r="H4" s="132">
        <v>2040</v>
      </c>
      <c r="I4" s="132">
        <v>2045</v>
      </c>
      <c r="J4" s="132">
        <v>2050</v>
      </c>
    </row>
    <row r="5" spans="1:10" ht="13.5" thickBot="1">
      <c r="B5" s="133" t="s">
        <v>75</v>
      </c>
      <c r="C5" s="133"/>
      <c r="D5" s="133" t="s">
        <v>77</v>
      </c>
      <c r="E5" s="134" t="s">
        <v>77</v>
      </c>
      <c r="F5" s="134" t="s">
        <v>77</v>
      </c>
      <c r="G5" s="134" t="s">
        <v>77</v>
      </c>
      <c r="H5" s="134" t="s">
        <v>77</v>
      </c>
      <c r="I5" s="134" t="s">
        <v>77</v>
      </c>
      <c r="J5" s="134" t="s">
        <v>77</v>
      </c>
    </row>
    <row r="6" spans="1:10" ht="16.149999999999999" customHeight="1" thickBot="1">
      <c r="B6" s="67" t="s">
        <v>78</v>
      </c>
      <c r="C6" s="67" t="s">
        <v>31</v>
      </c>
      <c r="D6" s="68">
        <v>100</v>
      </c>
      <c r="E6" s="135">
        <v>100</v>
      </c>
      <c r="F6" s="135">
        <v>100</v>
      </c>
      <c r="G6" s="135">
        <v>100</v>
      </c>
      <c r="H6" s="135">
        <v>100</v>
      </c>
      <c r="I6" s="135">
        <v>100</v>
      </c>
      <c r="J6" s="135">
        <v>100</v>
      </c>
    </row>
    <row r="7" spans="1:10" ht="16.149999999999999" customHeight="1">
      <c r="B7" s="69" t="s">
        <v>75</v>
      </c>
      <c r="C7" s="69"/>
      <c r="D7" s="128" t="s">
        <v>79</v>
      </c>
      <c r="E7" s="69"/>
      <c r="F7" s="69"/>
      <c r="G7" s="69"/>
      <c r="H7" s="69"/>
      <c r="I7" s="69"/>
      <c r="J7" s="69"/>
    </row>
    <row r="8" spans="1:10" ht="16.149999999999999" customHeight="1">
      <c r="B8" s="131" t="s">
        <v>80</v>
      </c>
      <c r="C8" s="71" t="s">
        <v>31</v>
      </c>
      <c r="D8" s="129">
        <f>D78/1000</f>
        <v>2101.1590000000001</v>
      </c>
      <c r="E8" s="131">
        <f>D8</f>
        <v>2101.1590000000001</v>
      </c>
      <c r="F8" s="71">
        <f t="shared" ref="F8:J8" si="0">E8</f>
        <v>2101.1590000000001</v>
      </c>
      <c r="G8" s="129">
        <f t="shared" si="0"/>
        <v>2101.1590000000001</v>
      </c>
      <c r="H8" s="131">
        <f t="shared" si="0"/>
        <v>2101.1590000000001</v>
      </c>
      <c r="I8" s="71">
        <f t="shared" si="0"/>
        <v>2101.1590000000001</v>
      </c>
      <c r="J8" s="129">
        <f t="shared" si="0"/>
        <v>2101.1590000000001</v>
      </c>
    </row>
    <row r="9" spans="1:10" ht="16.149999999999999" customHeight="1">
      <c r="B9" s="130" t="s">
        <v>81</v>
      </c>
      <c r="C9" s="70" t="s">
        <v>31</v>
      </c>
      <c r="D9" s="70">
        <f>(C78-D78)/1000</f>
        <v>4089.768</v>
      </c>
      <c r="E9" s="130">
        <f t="shared" ref="E9:J28" si="1">D9</f>
        <v>4089.768</v>
      </c>
      <c r="F9" s="70">
        <f t="shared" si="1"/>
        <v>4089.768</v>
      </c>
      <c r="G9" s="70">
        <f t="shared" si="1"/>
        <v>4089.768</v>
      </c>
      <c r="H9" s="130">
        <f t="shared" si="1"/>
        <v>4089.768</v>
      </c>
      <c r="I9" s="70">
        <f t="shared" si="1"/>
        <v>4089.768</v>
      </c>
      <c r="J9" s="70">
        <f t="shared" si="1"/>
        <v>4089.768</v>
      </c>
    </row>
    <row r="10" spans="1:10" ht="16.149999999999999" customHeight="1">
      <c r="B10" s="160" t="s">
        <v>82</v>
      </c>
      <c r="C10" s="161" t="s">
        <v>31</v>
      </c>
      <c r="D10" s="161">
        <f>G78/1000</f>
        <v>269.53800000000001</v>
      </c>
      <c r="E10" s="79">
        <f t="shared" si="1"/>
        <v>269.53800000000001</v>
      </c>
      <c r="F10" s="79">
        <f t="shared" si="1"/>
        <v>269.53800000000001</v>
      </c>
      <c r="G10" s="79">
        <f t="shared" si="1"/>
        <v>269.53800000000001</v>
      </c>
      <c r="H10" s="79">
        <f t="shared" si="1"/>
        <v>269.53800000000001</v>
      </c>
      <c r="I10" s="79">
        <f t="shared" si="1"/>
        <v>269.53800000000001</v>
      </c>
      <c r="J10" s="79">
        <f t="shared" si="1"/>
        <v>269.53800000000001</v>
      </c>
    </row>
    <row r="11" spans="1:10" ht="16.149999999999999" customHeight="1">
      <c r="B11" s="130" t="s">
        <v>83</v>
      </c>
      <c r="C11" s="70" t="s">
        <v>31</v>
      </c>
      <c r="D11" s="70">
        <f>E78/1000</f>
        <v>9078.25</v>
      </c>
      <c r="E11" s="130">
        <f t="shared" si="1"/>
        <v>9078.25</v>
      </c>
      <c r="F11" s="70">
        <f t="shared" si="1"/>
        <v>9078.25</v>
      </c>
      <c r="G11" s="70">
        <f t="shared" si="1"/>
        <v>9078.25</v>
      </c>
      <c r="H11" s="130">
        <f t="shared" si="1"/>
        <v>9078.25</v>
      </c>
      <c r="I11" s="70">
        <f t="shared" si="1"/>
        <v>9078.25</v>
      </c>
      <c r="J11" s="70">
        <f t="shared" si="1"/>
        <v>9078.25</v>
      </c>
    </row>
    <row r="12" spans="1:10" ht="16.149999999999999" customHeight="1">
      <c r="B12" s="160" t="s">
        <v>84</v>
      </c>
      <c r="C12" s="161" t="s">
        <v>31</v>
      </c>
      <c r="D12" s="161">
        <f>I78/1000</f>
        <v>64.180000000000007</v>
      </c>
      <c r="E12" s="79">
        <f t="shared" si="1"/>
        <v>64.180000000000007</v>
      </c>
      <c r="F12" s="79">
        <f t="shared" si="1"/>
        <v>64.180000000000007</v>
      </c>
      <c r="G12" s="79">
        <f t="shared" si="1"/>
        <v>64.180000000000007</v>
      </c>
      <c r="H12" s="79">
        <f t="shared" si="1"/>
        <v>64.180000000000007</v>
      </c>
      <c r="I12" s="79">
        <f t="shared" si="1"/>
        <v>64.180000000000007</v>
      </c>
      <c r="J12" s="79">
        <f t="shared" si="1"/>
        <v>64.180000000000007</v>
      </c>
    </row>
    <row r="13" spans="1:10" ht="16.149999999999999" customHeight="1">
      <c r="B13" s="130" t="s">
        <v>85</v>
      </c>
      <c r="C13" s="70" t="s">
        <v>31</v>
      </c>
      <c r="D13" s="70">
        <f>D84/1000</f>
        <v>268862.57400000002</v>
      </c>
      <c r="E13" s="130">
        <f t="shared" si="1"/>
        <v>268862.57400000002</v>
      </c>
      <c r="F13" s="70">
        <f t="shared" si="1"/>
        <v>268862.57400000002</v>
      </c>
      <c r="G13" s="70">
        <f t="shared" si="1"/>
        <v>268862.57400000002</v>
      </c>
      <c r="H13" s="130">
        <f t="shared" si="1"/>
        <v>268862.57400000002</v>
      </c>
      <c r="I13" s="70">
        <f t="shared" si="1"/>
        <v>268862.57400000002</v>
      </c>
      <c r="J13" s="70">
        <f t="shared" si="1"/>
        <v>268862.57400000002</v>
      </c>
    </row>
    <row r="14" spans="1:10" ht="16.149999999999999" customHeight="1">
      <c r="B14" s="69" t="s">
        <v>75</v>
      </c>
      <c r="C14" s="69"/>
      <c r="D14" s="128" t="s">
        <v>186</v>
      </c>
      <c r="E14" s="69"/>
      <c r="F14" s="69"/>
      <c r="G14" s="69"/>
      <c r="H14" s="69"/>
      <c r="I14" s="69"/>
      <c r="J14" s="69"/>
    </row>
    <row r="15" spans="1:10" ht="16.149999999999999" customHeight="1">
      <c r="B15" s="131" t="s">
        <v>86</v>
      </c>
      <c r="C15" s="71" t="s">
        <v>31</v>
      </c>
      <c r="D15" s="129">
        <f>H42</f>
        <v>12405.603600000002</v>
      </c>
      <c r="E15" s="157">
        <f t="shared" si="1"/>
        <v>12405.603600000002</v>
      </c>
      <c r="F15" s="129">
        <f t="shared" si="1"/>
        <v>12405.603600000002</v>
      </c>
      <c r="G15" s="129">
        <f t="shared" si="1"/>
        <v>12405.603600000002</v>
      </c>
      <c r="H15" s="157">
        <f t="shared" si="1"/>
        <v>12405.603600000002</v>
      </c>
      <c r="I15" s="129">
        <f t="shared" si="1"/>
        <v>12405.603600000002</v>
      </c>
      <c r="J15" s="129">
        <f t="shared" si="1"/>
        <v>12405.603600000002</v>
      </c>
    </row>
    <row r="16" spans="1:10">
      <c r="B16" s="130" t="s">
        <v>87</v>
      </c>
      <c r="C16" s="70" t="s">
        <v>31</v>
      </c>
      <c r="D16" s="158">
        <f>H46</f>
        <v>3017.6627599999997</v>
      </c>
      <c r="E16" s="159">
        <f t="shared" si="1"/>
        <v>3017.6627599999997</v>
      </c>
      <c r="F16" s="158">
        <f t="shared" si="1"/>
        <v>3017.6627599999997</v>
      </c>
      <c r="G16" s="158">
        <f t="shared" si="1"/>
        <v>3017.6627599999997</v>
      </c>
      <c r="H16" s="159">
        <f t="shared" si="1"/>
        <v>3017.6627599999997</v>
      </c>
      <c r="I16" s="158">
        <f t="shared" si="1"/>
        <v>3017.6627599999997</v>
      </c>
      <c r="J16" s="158">
        <f t="shared" si="1"/>
        <v>3017.6627599999997</v>
      </c>
    </row>
    <row r="17" spans="2:19">
      <c r="B17" s="160" t="s">
        <v>88</v>
      </c>
      <c r="C17" s="161" t="s">
        <v>31</v>
      </c>
      <c r="D17" s="162">
        <f>H54</f>
        <v>9396.7107199999991</v>
      </c>
      <c r="E17" s="163">
        <f t="shared" si="1"/>
        <v>9396.7107199999991</v>
      </c>
      <c r="F17" s="163">
        <f t="shared" si="1"/>
        <v>9396.7107199999991</v>
      </c>
      <c r="G17" s="163">
        <f t="shared" si="1"/>
        <v>9396.7107199999991</v>
      </c>
      <c r="H17" s="163">
        <f t="shared" si="1"/>
        <v>9396.7107199999991</v>
      </c>
      <c r="I17" s="163">
        <f t="shared" si="1"/>
        <v>9396.7107199999991</v>
      </c>
      <c r="J17" s="163">
        <f t="shared" si="1"/>
        <v>9396.7107199999991</v>
      </c>
    </row>
    <row r="18" spans="2:19">
      <c r="B18" s="130" t="s">
        <v>89</v>
      </c>
      <c r="C18" s="70" t="s">
        <v>31</v>
      </c>
      <c r="D18" s="158">
        <f>H52</f>
        <v>832.92</v>
      </c>
      <c r="E18" s="159">
        <f t="shared" si="1"/>
        <v>832.92</v>
      </c>
      <c r="F18" s="158">
        <f t="shared" si="1"/>
        <v>832.92</v>
      </c>
      <c r="G18" s="158">
        <f t="shared" si="1"/>
        <v>832.92</v>
      </c>
      <c r="H18" s="159">
        <f t="shared" si="1"/>
        <v>832.92</v>
      </c>
      <c r="I18" s="158">
        <f t="shared" si="1"/>
        <v>832.92</v>
      </c>
      <c r="J18" s="158">
        <f t="shared" si="1"/>
        <v>832.92</v>
      </c>
    </row>
    <row r="19" spans="2:19">
      <c r="B19" s="160" t="s">
        <v>90</v>
      </c>
      <c r="C19" s="161" t="s">
        <v>31</v>
      </c>
      <c r="D19" s="162">
        <f>H50</f>
        <v>5046.9496000000008</v>
      </c>
      <c r="E19" s="163">
        <f t="shared" si="1"/>
        <v>5046.9496000000008</v>
      </c>
      <c r="F19" s="163">
        <f t="shared" si="1"/>
        <v>5046.9496000000008</v>
      </c>
      <c r="G19" s="163">
        <f t="shared" si="1"/>
        <v>5046.9496000000008</v>
      </c>
      <c r="H19" s="163">
        <f t="shared" si="1"/>
        <v>5046.9496000000008</v>
      </c>
      <c r="I19" s="163">
        <f t="shared" si="1"/>
        <v>5046.9496000000008</v>
      </c>
      <c r="J19" s="163">
        <f t="shared" si="1"/>
        <v>5046.9496000000008</v>
      </c>
      <c r="S19" s="63"/>
    </row>
    <row r="20" spans="2:19">
      <c r="B20" s="130" t="s">
        <v>91</v>
      </c>
      <c r="C20" s="70" t="s">
        <v>31</v>
      </c>
      <c r="D20" s="158">
        <f>H48</f>
        <v>1645.2395100000001</v>
      </c>
      <c r="E20" s="159">
        <f t="shared" si="1"/>
        <v>1645.2395100000001</v>
      </c>
      <c r="F20" s="158">
        <f t="shared" si="1"/>
        <v>1645.2395100000001</v>
      </c>
      <c r="G20" s="158">
        <f t="shared" si="1"/>
        <v>1645.2395100000001</v>
      </c>
      <c r="H20" s="159">
        <f t="shared" si="1"/>
        <v>1645.2395100000001</v>
      </c>
      <c r="I20" s="158">
        <f t="shared" si="1"/>
        <v>1645.2395100000001</v>
      </c>
      <c r="J20" s="158">
        <f t="shared" si="1"/>
        <v>1645.2395100000001</v>
      </c>
      <c r="S20" s="63"/>
    </row>
    <row r="21" spans="2:19">
      <c r="B21" s="160" t="s">
        <v>92</v>
      </c>
      <c r="C21" s="161" t="s">
        <v>31</v>
      </c>
      <c r="D21" s="162">
        <f>H44</f>
        <v>2435.3861700000002</v>
      </c>
      <c r="E21" s="163">
        <f t="shared" si="1"/>
        <v>2435.3861700000002</v>
      </c>
      <c r="F21" s="163">
        <f t="shared" si="1"/>
        <v>2435.3861700000002</v>
      </c>
      <c r="G21" s="163">
        <f t="shared" si="1"/>
        <v>2435.3861700000002</v>
      </c>
      <c r="H21" s="163">
        <f t="shared" si="1"/>
        <v>2435.3861700000002</v>
      </c>
      <c r="I21" s="163">
        <f t="shared" si="1"/>
        <v>2435.3861700000002</v>
      </c>
      <c r="J21" s="163">
        <f t="shared" si="1"/>
        <v>2435.3861700000002</v>
      </c>
      <c r="S21" s="63"/>
    </row>
    <row r="22" spans="2:19">
      <c r="B22" s="130" t="s">
        <v>93</v>
      </c>
      <c r="C22" s="70" t="s">
        <v>31</v>
      </c>
      <c r="D22" s="158">
        <f>H56+H58</f>
        <v>185.32583</v>
      </c>
      <c r="E22" s="159">
        <f t="shared" si="1"/>
        <v>185.32583</v>
      </c>
      <c r="F22" s="158">
        <f t="shared" si="1"/>
        <v>185.32583</v>
      </c>
      <c r="G22" s="158">
        <f t="shared" si="1"/>
        <v>185.32583</v>
      </c>
      <c r="H22" s="159">
        <f t="shared" si="1"/>
        <v>185.32583</v>
      </c>
      <c r="I22" s="158">
        <f t="shared" si="1"/>
        <v>185.32583</v>
      </c>
      <c r="J22" s="158">
        <f t="shared" si="1"/>
        <v>185.32583</v>
      </c>
      <c r="S22" s="63"/>
    </row>
    <row r="23" spans="2:19">
      <c r="B23" s="160" t="s">
        <v>94</v>
      </c>
      <c r="C23" s="161" t="s">
        <v>31</v>
      </c>
      <c r="D23" s="162">
        <f>H66</f>
        <v>779.12891000000002</v>
      </c>
      <c r="E23" s="163">
        <f t="shared" si="1"/>
        <v>779.12891000000002</v>
      </c>
      <c r="F23" s="163">
        <f t="shared" si="1"/>
        <v>779.12891000000002</v>
      </c>
      <c r="G23" s="163">
        <f t="shared" si="1"/>
        <v>779.12891000000002</v>
      </c>
      <c r="H23" s="163">
        <f t="shared" si="1"/>
        <v>779.12891000000002</v>
      </c>
      <c r="I23" s="163">
        <f t="shared" si="1"/>
        <v>779.12891000000002</v>
      </c>
      <c r="J23" s="163">
        <f t="shared" si="1"/>
        <v>779.12891000000002</v>
      </c>
      <c r="S23" s="63"/>
    </row>
    <row r="24" spans="2:19">
      <c r="B24" s="130" t="s">
        <v>95</v>
      </c>
      <c r="C24" s="70" t="s">
        <v>31</v>
      </c>
      <c r="D24" s="158">
        <f>H64</f>
        <v>513.29357999999991</v>
      </c>
      <c r="E24" s="159">
        <f t="shared" si="1"/>
        <v>513.29357999999991</v>
      </c>
      <c r="F24" s="158">
        <f t="shared" si="1"/>
        <v>513.29357999999991</v>
      </c>
      <c r="G24" s="158">
        <f t="shared" si="1"/>
        <v>513.29357999999991</v>
      </c>
      <c r="H24" s="159">
        <f t="shared" si="1"/>
        <v>513.29357999999991</v>
      </c>
      <c r="I24" s="158">
        <f t="shared" si="1"/>
        <v>513.29357999999991</v>
      </c>
      <c r="J24" s="158">
        <f t="shared" si="1"/>
        <v>513.29357999999991</v>
      </c>
    </row>
    <row r="25" spans="2:19">
      <c r="B25" s="160" t="s">
        <v>96</v>
      </c>
      <c r="C25" s="161" t="s">
        <v>31</v>
      </c>
      <c r="D25" s="162">
        <f>H60</f>
        <v>5923.7602000000006</v>
      </c>
      <c r="E25" s="163">
        <f t="shared" si="1"/>
        <v>5923.7602000000006</v>
      </c>
      <c r="F25" s="163">
        <f t="shared" si="1"/>
        <v>5923.7602000000006</v>
      </c>
      <c r="G25" s="163">
        <f t="shared" si="1"/>
        <v>5923.7602000000006</v>
      </c>
      <c r="H25" s="163">
        <f t="shared" si="1"/>
        <v>5923.7602000000006</v>
      </c>
      <c r="I25" s="163">
        <f t="shared" si="1"/>
        <v>5923.7602000000006</v>
      </c>
      <c r="J25" s="163">
        <f t="shared" si="1"/>
        <v>5923.7602000000006</v>
      </c>
    </row>
    <row r="26" spans="2:19">
      <c r="B26" s="130" t="s">
        <v>97</v>
      </c>
      <c r="C26" s="70" t="s">
        <v>31</v>
      </c>
      <c r="D26" s="158">
        <f>H62</f>
        <v>3468.2807199999997</v>
      </c>
      <c r="E26" s="159">
        <f t="shared" si="1"/>
        <v>3468.2807199999997</v>
      </c>
      <c r="F26" s="158">
        <f t="shared" si="1"/>
        <v>3468.2807199999997</v>
      </c>
      <c r="G26" s="158">
        <f t="shared" si="1"/>
        <v>3468.2807199999997</v>
      </c>
      <c r="H26" s="159">
        <f t="shared" si="1"/>
        <v>3468.2807199999997</v>
      </c>
      <c r="I26" s="158">
        <f t="shared" si="1"/>
        <v>3468.2807199999997</v>
      </c>
      <c r="J26" s="158">
        <f t="shared" si="1"/>
        <v>3468.2807199999997</v>
      </c>
    </row>
    <row r="27" spans="2:19">
      <c r="B27" s="160" t="s">
        <v>98</v>
      </c>
      <c r="C27" s="161" t="s">
        <v>31</v>
      </c>
      <c r="D27" s="162">
        <v>0</v>
      </c>
      <c r="E27" s="163">
        <f t="shared" si="1"/>
        <v>0</v>
      </c>
      <c r="F27" s="163">
        <f t="shared" si="1"/>
        <v>0</v>
      </c>
      <c r="G27" s="163">
        <f t="shared" si="1"/>
        <v>0</v>
      </c>
      <c r="H27" s="163">
        <f t="shared" si="1"/>
        <v>0</v>
      </c>
      <c r="I27" s="163">
        <f t="shared" si="1"/>
        <v>0</v>
      </c>
      <c r="J27" s="163">
        <f t="shared" si="1"/>
        <v>0</v>
      </c>
    </row>
    <row r="28" spans="2:19">
      <c r="B28" s="130" t="s">
        <v>99</v>
      </c>
      <c r="C28" s="70" t="s">
        <v>31</v>
      </c>
      <c r="D28" s="158">
        <v>0</v>
      </c>
      <c r="E28" s="159">
        <f t="shared" si="1"/>
        <v>0</v>
      </c>
      <c r="F28" s="158">
        <f t="shared" si="1"/>
        <v>0</v>
      </c>
      <c r="G28" s="158">
        <f t="shared" si="1"/>
        <v>0</v>
      </c>
      <c r="H28" s="159">
        <f t="shared" si="1"/>
        <v>0</v>
      </c>
      <c r="I28" s="158">
        <f t="shared" si="1"/>
        <v>0</v>
      </c>
      <c r="J28" s="158">
        <f t="shared" si="1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149999999999999" customHeight="1">
      <c r="B30" s="150" t="s">
        <v>166</v>
      </c>
      <c r="C30" s="143" t="s">
        <v>31</v>
      </c>
      <c r="D30" s="143">
        <v>3</v>
      </c>
      <c r="E30" s="143">
        <v>3</v>
      </c>
      <c r="F30" s="143">
        <v>3</v>
      </c>
      <c r="G30" s="143">
        <v>3</v>
      </c>
      <c r="H30" s="143">
        <v>3</v>
      </c>
      <c r="I30" s="143">
        <v>3</v>
      </c>
      <c r="J30" s="143">
        <v>3</v>
      </c>
    </row>
    <row r="31" spans="2:19" ht="16.149999999999999" customHeight="1">
      <c r="B31" s="69" t="s">
        <v>75</v>
      </c>
      <c r="C31" s="69"/>
      <c r="D31" s="128" t="s">
        <v>32</v>
      </c>
      <c r="E31" s="69"/>
      <c r="F31" s="69"/>
      <c r="G31" s="69"/>
      <c r="H31" s="69"/>
      <c r="I31" s="69"/>
      <c r="J31" s="69"/>
    </row>
    <row r="32" spans="2:19" ht="16.149999999999999" customHeight="1">
      <c r="B32" s="160" t="s">
        <v>187</v>
      </c>
      <c r="C32" s="161" t="s">
        <v>31</v>
      </c>
      <c r="D32" s="160">
        <v>3</v>
      </c>
      <c r="E32" s="160">
        <v>3</v>
      </c>
      <c r="F32" s="160">
        <v>3</v>
      </c>
      <c r="G32" s="160">
        <v>3</v>
      </c>
      <c r="H32" s="160">
        <v>3</v>
      </c>
      <c r="I32" s="160">
        <v>3</v>
      </c>
      <c r="J32" s="160">
        <v>3</v>
      </c>
    </row>
    <row r="33" spans="2:10" ht="16.149999999999999" customHeight="1">
      <c r="B33" s="130" t="s">
        <v>188</v>
      </c>
      <c r="C33" s="70" t="s">
        <v>31</v>
      </c>
      <c r="D33" s="130">
        <v>2</v>
      </c>
      <c r="E33" s="70">
        <v>2</v>
      </c>
      <c r="F33" s="130">
        <v>2</v>
      </c>
      <c r="G33" s="70">
        <v>2</v>
      </c>
      <c r="H33" s="130">
        <v>2</v>
      </c>
      <c r="I33" s="70">
        <v>2</v>
      </c>
      <c r="J33" s="130">
        <v>2</v>
      </c>
    </row>
    <row r="34" spans="2:10" ht="16.149999999999999" customHeight="1"/>
    <row r="35" spans="2:10" ht="16.149999999999999" customHeight="1" thickBot="1">
      <c r="B35" s="72" t="s">
        <v>100</v>
      </c>
    </row>
    <row r="36" spans="2:10">
      <c r="B36" s="105"/>
      <c r="C36" s="106"/>
      <c r="D36" s="106"/>
      <c r="E36" s="106"/>
      <c r="F36" s="106"/>
      <c r="G36" s="106"/>
      <c r="H36" s="107"/>
    </row>
    <row r="37" spans="2:10" ht="15.75">
      <c r="B37" s="164" t="s">
        <v>182</v>
      </c>
      <c r="C37" s="165"/>
      <c r="D37" s="165"/>
      <c r="E37" s="165"/>
      <c r="F37" s="165"/>
      <c r="G37" s="108"/>
      <c r="H37" s="109" t="s">
        <v>101</v>
      </c>
    </row>
    <row r="38" spans="2:10">
      <c r="B38" s="110"/>
      <c r="C38" s="108"/>
      <c r="D38" s="108"/>
      <c r="E38" s="108"/>
      <c r="F38" s="108"/>
      <c r="G38" s="108"/>
      <c r="H38" s="111"/>
    </row>
    <row r="39" spans="2:10">
      <c r="B39" s="166" t="s">
        <v>102</v>
      </c>
      <c r="C39" s="167" t="s">
        <v>103</v>
      </c>
      <c r="D39" s="167" t="s">
        <v>104</v>
      </c>
      <c r="E39" s="167" t="s">
        <v>105</v>
      </c>
      <c r="F39" s="108"/>
      <c r="G39" s="108" t="s">
        <v>106</v>
      </c>
      <c r="H39" s="111" t="s">
        <v>106</v>
      </c>
    </row>
    <row r="40" spans="2:10" ht="13.7" customHeight="1">
      <c r="B40" s="166"/>
      <c r="C40" s="167"/>
      <c r="D40" s="167"/>
      <c r="E40" s="167"/>
      <c r="F40" s="108"/>
      <c r="G40" s="108" t="s">
        <v>184</v>
      </c>
      <c r="H40" s="111" t="s">
        <v>185</v>
      </c>
    </row>
    <row r="41" spans="2:10">
      <c r="B41" s="112" t="s">
        <v>107</v>
      </c>
      <c r="C41" s="108"/>
      <c r="D41" s="108"/>
      <c r="E41" s="108"/>
      <c r="F41" s="108"/>
      <c r="G41" s="108"/>
      <c r="H41" s="111"/>
    </row>
    <row r="42" spans="2:10">
      <c r="B42" s="110" t="s">
        <v>108</v>
      </c>
      <c r="C42" s="113">
        <v>2385.6930000000002</v>
      </c>
      <c r="D42" s="108">
        <v>52</v>
      </c>
      <c r="E42" s="114">
        <v>124145899</v>
      </c>
      <c r="F42" s="108"/>
      <c r="G42" s="108">
        <f>D42/10</f>
        <v>5.2</v>
      </c>
      <c r="H42" s="155">
        <f>G42*C42</f>
        <v>12405.603600000002</v>
      </c>
    </row>
    <row r="43" spans="2:10">
      <c r="B43" s="112" t="s">
        <v>109</v>
      </c>
      <c r="C43" s="108"/>
      <c r="D43" s="108"/>
      <c r="E43" s="108"/>
      <c r="F43" s="108"/>
      <c r="G43" s="108"/>
      <c r="H43" s="155"/>
    </row>
    <row r="44" spans="2:10">
      <c r="B44" s="110" t="s">
        <v>110</v>
      </c>
      <c r="C44" s="108">
        <v>682.18100000000004</v>
      </c>
      <c r="D44" s="108">
        <v>35.700000000000003</v>
      </c>
      <c r="E44" s="114">
        <v>24385526</v>
      </c>
      <c r="F44" s="108"/>
      <c r="G44" s="108">
        <f t="shared" ref="G44:G66" si="2">D44/10</f>
        <v>3.5700000000000003</v>
      </c>
      <c r="H44" s="155">
        <f t="shared" ref="H44:H66" si="3">G44*C44</f>
        <v>2435.3861700000002</v>
      </c>
    </row>
    <row r="45" spans="2:10">
      <c r="B45" s="112" t="s">
        <v>111</v>
      </c>
      <c r="C45" s="108"/>
      <c r="D45" s="108"/>
      <c r="E45" s="108"/>
      <c r="F45" s="108"/>
      <c r="G45" s="108"/>
      <c r="H45" s="155"/>
    </row>
    <row r="46" spans="2:10">
      <c r="B46" s="110" t="s">
        <v>110</v>
      </c>
      <c r="C46" s="108">
        <v>695.31399999999996</v>
      </c>
      <c r="D46" s="108">
        <v>43.4</v>
      </c>
      <c r="E46" s="114">
        <v>30161612</v>
      </c>
      <c r="F46" s="108"/>
      <c r="G46" s="108">
        <f t="shared" si="2"/>
        <v>4.34</v>
      </c>
      <c r="H46" s="155">
        <f t="shared" si="3"/>
        <v>3017.6627599999997</v>
      </c>
    </row>
    <row r="47" spans="2:10">
      <c r="B47" s="112" t="s">
        <v>112</v>
      </c>
      <c r="C47" s="108"/>
      <c r="D47" s="108"/>
      <c r="E47" s="108"/>
      <c r="F47" s="108"/>
      <c r="G47" s="108"/>
      <c r="H47" s="155"/>
    </row>
    <row r="48" spans="2:10">
      <c r="B48" s="110" t="s">
        <v>108</v>
      </c>
      <c r="C48" s="108">
        <v>519.00300000000004</v>
      </c>
      <c r="D48" s="108">
        <v>31.7</v>
      </c>
      <c r="E48" s="114">
        <v>16475645</v>
      </c>
      <c r="F48" s="108"/>
      <c r="G48" s="108">
        <f t="shared" si="2"/>
        <v>3.17</v>
      </c>
      <c r="H48" s="155">
        <f t="shared" si="3"/>
        <v>1645.2395100000001</v>
      </c>
    </row>
    <row r="49" spans="2:8">
      <c r="B49" s="112" t="s">
        <v>113</v>
      </c>
      <c r="C49" s="108"/>
      <c r="D49" s="108"/>
      <c r="E49" s="108"/>
      <c r="F49" s="108"/>
      <c r="G49" s="108"/>
      <c r="H49" s="155"/>
    </row>
    <row r="50" spans="2:8">
      <c r="B50" s="110" t="s">
        <v>110</v>
      </c>
      <c r="C50" s="113">
        <v>1147.0340000000001</v>
      </c>
      <c r="D50" s="108">
        <v>44</v>
      </c>
      <c r="E50" s="114">
        <v>50521954</v>
      </c>
      <c r="F50" s="108"/>
      <c r="G50" s="108">
        <f t="shared" si="2"/>
        <v>4.4000000000000004</v>
      </c>
      <c r="H50" s="155">
        <f t="shared" si="3"/>
        <v>5046.9496000000008</v>
      </c>
    </row>
    <row r="51" spans="2:8">
      <c r="B51" s="112" t="s">
        <v>114</v>
      </c>
      <c r="C51" s="108"/>
      <c r="D51" s="108"/>
      <c r="E51" s="108"/>
      <c r="F51" s="108"/>
      <c r="G51" s="108"/>
      <c r="H51" s="155"/>
    </row>
    <row r="52" spans="2:8">
      <c r="B52" s="110" t="s">
        <v>110</v>
      </c>
      <c r="C52" s="108">
        <v>252.4</v>
      </c>
      <c r="D52" s="108">
        <v>33</v>
      </c>
      <c r="E52" s="114">
        <v>8334447</v>
      </c>
      <c r="F52" s="108"/>
      <c r="G52" s="108">
        <f t="shared" si="2"/>
        <v>3.3</v>
      </c>
      <c r="H52" s="155">
        <f t="shared" si="3"/>
        <v>832.92</v>
      </c>
    </row>
    <row r="53" spans="2:8">
      <c r="B53" s="112" t="s">
        <v>115</v>
      </c>
      <c r="C53" s="108"/>
      <c r="D53" s="108"/>
      <c r="E53" s="108"/>
      <c r="F53" s="108"/>
      <c r="G53" s="108"/>
      <c r="H53" s="155"/>
    </row>
    <row r="54" spans="2:8" ht="15">
      <c r="B54" s="110" t="s">
        <v>110</v>
      </c>
      <c r="C54" s="108">
        <v>1276.7270000000001</v>
      </c>
      <c r="D54" s="108">
        <v>73.599999999999994</v>
      </c>
      <c r="E54" s="114">
        <v>93980760</v>
      </c>
      <c r="F54" s="115"/>
      <c r="G54" s="108">
        <f t="shared" si="2"/>
        <v>7.3599999999999994</v>
      </c>
      <c r="H54" s="155">
        <f t="shared" si="3"/>
        <v>9396.7107199999991</v>
      </c>
    </row>
    <row r="55" spans="2:8">
      <c r="B55" s="112" t="s">
        <v>116</v>
      </c>
      <c r="C55" s="108"/>
      <c r="D55" s="108"/>
      <c r="E55" s="108"/>
      <c r="F55" s="108"/>
      <c r="G55" s="108"/>
      <c r="H55" s="155"/>
    </row>
    <row r="56" spans="2:8">
      <c r="B56" s="110" t="s">
        <v>110</v>
      </c>
      <c r="C56" s="108">
        <v>93.600999999999999</v>
      </c>
      <c r="D56" s="108">
        <v>15.2</v>
      </c>
      <c r="E56" s="114">
        <v>1422008</v>
      </c>
      <c r="F56" s="108"/>
      <c r="G56" s="108">
        <f t="shared" si="2"/>
        <v>1.52</v>
      </c>
      <c r="H56" s="155">
        <f t="shared" si="3"/>
        <v>142.27351999999999</v>
      </c>
    </row>
    <row r="57" spans="2:8">
      <c r="B57" s="112" t="s">
        <v>117</v>
      </c>
      <c r="C57" s="108"/>
      <c r="D57" s="108"/>
      <c r="E57" s="108"/>
      <c r="F57" s="108"/>
      <c r="G57" s="108"/>
      <c r="H57" s="155"/>
    </row>
    <row r="58" spans="2:8">
      <c r="B58" s="110" t="s">
        <v>110</v>
      </c>
      <c r="C58" s="108">
        <v>22.779</v>
      </c>
      <c r="D58" s="108">
        <v>18.899999999999999</v>
      </c>
      <c r="E58" s="114">
        <v>431612</v>
      </c>
      <c r="F58" s="108"/>
      <c r="G58" s="108">
        <f t="shared" si="2"/>
        <v>1.89</v>
      </c>
      <c r="H58" s="155">
        <f t="shared" si="3"/>
        <v>43.052309999999999</v>
      </c>
    </row>
    <row r="59" spans="2:8" ht="14.25">
      <c r="B59" s="112" t="s">
        <v>118</v>
      </c>
      <c r="C59" s="108"/>
      <c r="D59" s="108"/>
      <c r="E59" s="108"/>
      <c r="F59" s="108"/>
      <c r="G59" s="108"/>
      <c r="H59" s="155"/>
    </row>
    <row r="60" spans="2:8">
      <c r="B60" s="116" t="s">
        <v>108</v>
      </c>
      <c r="C60" s="117">
        <v>196.15100000000001</v>
      </c>
      <c r="D60" s="118">
        <v>302</v>
      </c>
      <c r="E60" s="119">
        <v>59201683</v>
      </c>
      <c r="F60" s="118"/>
      <c r="G60" s="108">
        <f t="shared" si="2"/>
        <v>30.2</v>
      </c>
      <c r="H60" s="155">
        <f t="shared" si="3"/>
        <v>5923.7602000000006</v>
      </c>
    </row>
    <row r="61" spans="2:8">
      <c r="B61" s="112" t="s">
        <v>119</v>
      </c>
      <c r="C61" s="108"/>
      <c r="D61" s="108"/>
      <c r="E61" s="108"/>
      <c r="F61" s="108"/>
      <c r="G61" s="108"/>
      <c r="H61" s="155"/>
    </row>
    <row r="62" spans="2:8">
      <c r="B62" s="110" t="s">
        <v>110</v>
      </c>
      <c r="C62" s="113">
        <v>1104.548</v>
      </c>
      <c r="D62" s="108">
        <v>31.4</v>
      </c>
      <c r="E62" s="114">
        <v>34713263</v>
      </c>
      <c r="F62" s="108"/>
      <c r="G62" s="108">
        <f t="shared" si="2"/>
        <v>3.1399999999999997</v>
      </c>
      <c r="H62" s="155">
        <f t="shared" si="3"/>
        <v>3468.2807199999997</v>
      </c>
    </row>
    <row r="63" spans="2:8">
      <c r="B63" s="120" t="s">
        <v>120</v>
      </c>
      <c r="C63" s="121"/>
      <c r="D63" s="121"/>
      <c r="E63" s="121"/>
      <c r="F63" s="121"/>
      <c r="G63" s="108"/>
      <c r="H63" s="155"/>
    </row>
    <row r="64" spans="2:8">
      <c r="B64" s="122" t="s">
        <v>110</v>
      </c>
      <c r="C64" s="121">
        <v>206.142</v>
      </c>
      <c r="D64" s="121">
        <v>24.9</v>
      </c>
      <c r="E64" s="123">
        <v>5138244</v>
      </c>
      <c r="F64" s="121"/>
      <c r="G64" s="108">
        <f t="shared" si="2"/>
        <v>2.4899999999999998</v>
      </c>
      <c r="H64" s="155">
        <f t="shared" si="3"/>
        <v>513.29357999999991</v>
      </c>
    </row>
    <row r="65" spans="2:9">
      <c r="B65" s="120" t="s">
        <v>121</v>
      </c>
      <c r="C65" s="121"/>
      <c r="D65" s="121"/>
      <c r="E65" s="121"/>
      <c r="F65" s="121"/>
      <c r="G65" s="108"/>
      <c r="H65" s="155"/>
    </row>
    <row r="66" spans="2:9" ht="13.5" thickBot="1">
      <c r="B66" s="124" t="s">
        <v>122</v>
      </c>
      <c r="C66" s="125">
        <v>43.308999999999997</v>
      </c>
      <c r="D66" s="125">
        <v>179.9</v>
      </c>
      <c r="E66" s="126">
        <v>7791301</v>
      </c>
      <c r="F66" s="127"/>
      <c r="G66" s="154">
        <f t="shared" si="2"/>
        <v>17.990000000000002</v>
      </c>
      <c r="H66" s="156">
        <f t="shared" si="3"/>
        <v>779.12891000000002</v>
      </c>
    </row>
    <row r="70" spans="2:9" ht="13.5" thickBot="1">
      <c r="B70" s="72" t="s">
        <v>123</v>
      </c>
    </row>
    <row r="71" spans="2:9" ht="15.75">
      <c r="B71" s="73" t="s">
        <v>183</v>
      </c>
      <c r="C71" s="74"/>
      <c r="D71" s="74"/>
      <c r="E71" s="74"/>
      <c r="F71" s="74"/>
      <c r="G71" s="75" t="s">
        <v>101</v>
      </c>
      <c r="H71" s="76"/>
      <c r="I71" s="77"/>
    </row>
    <row r="72" spans="2:9">
      <c r="B72" s="78"/>
      <c r="C72" s="79"/>
      <c r="D72" s="79"/>
      <c r="E72" s="79"/>
      <c r="F72" s="79"/>
      <c r="G72" s="79"/>
      <c r="H72" s="79"/>
      <c r="I72" s="80"/>
    </row>
    <row r="73" spans="2:9">
      <c r="B73" s="81" t="s">
        <v>124</v>
      </c>
      <c r="C73" s="82"/>
      <c r="D73" s="82"/>
      <c r="E73" s="82"/>
      <c r="F73" s="82"/>
      <c r="G73" s="82"/>
      <c r="H73" s="82"/>
      <c r="I73" s="83"/>
    </row>
    <row r="74" spans="2:9">
      <c r="B74" s="84"/>
      <c r="C74" s="85"/>
      <c r="D74" s="85"/>
      <c r="E74" s="85"/>
      <c r="F74" s="85"/>
      <c r="G74" s="85"/>
      <c r="H74" s="85"/>
      <c r="I74" s="86"/>
    </row>
    <row r="75" spans="2:9">
      <c r="B75" s="87" t="s">
        <v>125</v>
      </c>
      <c r="C75" s="88" t="s">
        <v>126</v>
      </c>
      <c r="D75" s="88"/>
      <c r="E75" s="88" t="s">
        <v>127</v>
      </c>
      <c r="F75" s="88"/>
      <c r="G75" s="88" t="s">
        <v>128</v>
      </c>
      <c r="H75" s="89" t="s">
        <v>129</v>
      </c>
      <c r="I75" s="90" t="s">
        <v>130</v>
      </c>
    </row>
    <row r="76" spans="2:9">
      <c r="B76" s="87"/>
      <c r="C76" s="88" t="s">
        <v>131</v>
      </c>
      <c r="D76" s="89" t="s">
        <v>132</v>
      </c>
      <c r="E76" s="88" t="s">
        <v>131</v>
      </c>
      <c r="F76" s="89" t="s">
        <v>133</v>
      </c>
      <c r="G76" s="88"/>
      <c r="H76" s="89"/>
      <c r="I76" s="90"/>
    </row>
    <row r="77" spans="2:9">
      <c r="B77" s="87"/>
      <c r="C77" s="88" t="s">
        <v>134</v>
      </c>
      <c r="D77" s="88"/>
      <c r="E77" s="88"/>
      <c r="F77" s="88"/>
      <c r="G77" s="88"/>
      <c r="H77" s="88"/>
      <c r="I77" s="91" t="s">
        <v>135</v>
      </c>
    </row>
    <row r="78" spans="2:9" ht="13.5" thickBot="1">
      <c r="B78" s="92" t="s">
        <v>136</v>
      </c>
      <c r="C78" s="93">
        <v>6190927</v>
      </c>
      <c r="D78" s="93">
        <v>2101159</v>
      </c>
      <c r="E78" s="93">
        <v>9078250</v>
      </c>
      <c r="F78" s="93">
        <v>599707</v>
      </c>
      <c r="G78" s="93">
        <v>269538</v>
      </c>
      <c r="H78" s="93">
        <v>244679548</v>
      </c>
      <c r="I78" s="94">
        <v>64180</v>
      </c>
    </row>
    <row r="79" spans="2:9">
      <c r="B79" s="95" t="s">
        <v>137</v>
      </c>
      <c r="C79" s="96"/>
      <c r="D79" s="96"/>
      <c r="E79" s="96"/>
      <c r="F79" s="96"/>
      <c r="G79" s="97"/>
      <c r="H79" s="98"/>
      <c r="I79" s="99"/>
    </row>
    <row r="80" spans="2:9">
      <c r="B80" s="87" t="s">
        <v>138</v>
      </c>
      <c r="C80" s="88" t="s">
        <v>139</v>
      </c>
      <c r="D80" s="88"/>
      <c r="E80" s="88" t="s">
        <v>140</v>
      </c>
      <c r="F80" s="88"/>
      <c r="I80" s="100"/>
    </row>
    <row r="81" spans="2:9">
      <c r="B81" s="87"/>
      <c r="C81" s="88" t="s">
        <v>141</v>
      </c>
      <c r="D81" s="88"/>
      <c r="E81" s="88"/>
      <c r="F81" s="88"/>
      <c r="I81" s="100"/>
    </row>
    <row r="82" spans="2:9">
      <c r="B82" s="87"/>
      <c r="C82" s="88" t="s">
        <v>142</v>
      </c>
      <c r="D82" s="88" t="s">
        <v>143</v>
      </c>
      <c r="E82" s="88" t="s">
        <v>142</v>
      </c>
      <c r="F82" s="88" t="s">
        <v>143</v>
      </c>
      <c r="I82" s="100"/>
    </row>
    <row r="83" spans="2:9">
      <c r="B83" s="87"/>
      <c r="C83" s="88" t="s">
        <v>134</v>
      </c>
      <c r="D83" s="88"/>
      <c r="E83" s="88"/>
      <c r="F83" s="88"/>
      <c r="I83" s="100"/>
    </row>
    <row r="84" spans="2:9" ht="13.5" thickBot="1">
      <c r="B84" s="101" t="s">
        <v>144</v>
      </c>
      <c r="C84" s="102">
        <v>214987216</v>
      </c>
      <c r="D84" s="102">
        <v>268862574</v>
      </c>
      <c r="E84" s="102">
        <v>185713737</v>
      </c>
      <c r="F84" s="102">
        <v>244679548</v>
      </c>
      <c r="G84" s="103"/>
      <c r="H84" s="103"/>
      <c r="I84" s="104"/>
    </row>
  </sheetData>
  <mergeCells count="5">
    <mergeCell ref="B37:F37"/>
    <mergeCell ref="B39:B40"/>
    <mergeCell ref="C39:C40"/>
    <mergeCell ref="D39:D40"/>
    <mergeCell ref="E39:E40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3a89f9027361f7d3c140af2fe110eadb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ff995f4215d3ca90fb464d6ddf93df71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0B72F2-29CD-43FC-A840-6C3FB485C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purl.org/dc/elements/1.1/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708d6b01-37ca-4db4-bc7f-9b68f32c58b8"/>
    <ds:schemaRef ds:uri="8acd6055-54fc-4ce7-b3df-0a09834a0329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2026-09-21T12:21:26Z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