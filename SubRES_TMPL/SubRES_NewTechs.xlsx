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2026\2. AGR_model_wyizolowany\SubRES_TMPL\"/>
    </mc:Choice>
  </mc:AlternateContent>
  <xr:revisionPtr revIDLastSave="0" documentId="13_ncr:1_{1F3E49AE-830C-4B03-B13B-954008E7522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I_ELC" sheetId="4" r:id="rId1"/>
    <sheet name="Arkusz1" sheetId="5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5" i="4"/>
  <c r="B39" i="4"/>
  <c r="K18" i="5"/>
  <c r="K16" i="5"/>
  <c r="K3" i="5"/>
  <c r="K4" i="5"/>
  <c r="K5" i="5"/>
  <c r="K6" i="5"/>
  <c r="K7" i="5"/>
  <c r="K8" i="5"/>
  <c r="K9" i="5"/>
  <c r="K10" i="5"/>
  <c r="K11" i="5"/>
  <c r="K12" i="5"/>
  <c r="K13" i="5"/>
  <c r="K2" i="5"/>
</calcChain>
</file>

<file path=xl/sharedStrings.xml><?xml version="1.0" encoding="utf-8"?>
<sst xmlns="http://schemas.openxmlformats.org/spreadsheetml/2006/main" count="269" uniqueCount="62">
  <si>
    <t>~FI_T</t>
  </si>
  <si>
    <t>TechName</t>
  </si>
  <si>
    <t>TechDesc</t>
  </si>
  <si>
    <t>Comm-IN</t>
  </si>
  <si>
    <t>Comm-OUT</t>
  </si>
  <si>
    <t>FIXOM</t>
  </si>
  <si>
    <t>START</t>
  </si>
  <si>
    <t>Sets</t>
  </si>
  <si>
    <t>~FI_Process</t>
  </si>
  <si>
    <t>Tact</t>
  </si>
  <si>
    <t>Tcap</t>
  </si>
  <si>
    <t>Tslvl</t>
  </si>
  <si>
    <t>PrimaryCG</t>
  </si>
  <si>
    <t>Vintage</t>
  </si>
  <si>
    <t>AFA</t>
  </si>
  <si>
    <t>VAROM</t>
  </si>
  <si>
    <t>INVCOST</t>
  </si>
  <si>
    <t>Region</t>
  </si>
  <si>
    <t>LIFE</t>
  </si>
  <si>
    <t>ENV_ACT</t>
  </si>
  <si>
    <t>Year</t>
  </si>
  <si>
    <t>CAP2ACT</t>
  </si>
  <si>
    <t>PRE</t>
  </si>
  <si>
    <t>AGR_NEW_BIOCH4</t>
  </si>
  <si>
    <t>AGR_NEW_BIOG</t>
  </si>
  <si>
    <t>mln m3</t>
  </si>
  <si>
    <t>mln m3 / rok</t>
  </si>
  <si>
    <t>AGR_RESID_CROP_WHEAT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</si>
  <si>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</si>
  <si>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</si>
  <si>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</si>
  <si>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</si>
  <si>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</si>
  <si>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</si>
  <si>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</si>
  <si>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AGR_LIV_MANURE_CAT_DAIRY</t>
  </si>
  <si>
    <t>AGR_LIV_MANURE_CAT_NON-DAIRY</t>
  </si>
  <si>
    <t>AGR_LIV_MANURE_SWINE</t>
  </si>
  <si>
    <t>AGR_LIV_MANURE_POULTRY</t>
  </si>
  <si>
    <t>PRI_BIO_CH4_AGR</t>
  </si>
  <si>
    <t>CEFF</t>
  </si>
  <si>
    <t>ACTFLO</t>
  </si>
  <si>
    <t>FLO_COST</t>
  </si>
  <si>
    <t>PRI_BIOG_AGR</t>
  </si>
  <si>
    <t>Share-I~0</t>
  </si>
  <si>
    <t>mlnm3/kt</t>
  </si>
  <si>
    <t>kt</t>
  </si>
  <si>
    <t>mlnm3</t>
  </si>
  <si>
    <t>AGR_NEW_BIOG_MIX</t>
  </si>
  <si>
    <t>Biogas plant - animal manure</t>
  </si>
  <si>
    <t>Biogas plant - mixed residues</t>
  </si>
  <si>
    <t>Biomethane plant - animal manure</t>
  </si>
  <si>
    <t>Biomethane plant - mixed residues</t>
  </si>
  <si>
    <t>Biomethane plant - dry crop residues</t>
  </si>
  <si>
    <t>Share-I</t>
  </si>
  <si>
    <t>AGR_NEW_BIOG_MAN</t>
  </si>
  <si>
    <t>AGR_NEW_BIO_CH4_MAN</t>
  </si>
  <si>
    <t>AGR_NEW_BIO_CH4_MIX</t>
  </si>
  <si>
    <t>AGR_NEW_BIO_CH4_LIGN</t>
  </si>
  <si>
    <t>AGR_NEW_BIOG_LIGN</t>
  </si>
  <si>
    <t>Biogas plant - dry crop residues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</si>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</sst>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\Te\x\t"/>
    <numFmt numFmtId="165" formatCode="0.00000"/>
    <numFmt numFmtId="166" formatCode="0.0000"/>
    <numFmt numFmtId="167" formatCode="0.000"/>
  </numFmts>
  <fonts count="12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7EEF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7">
    <xf numFmtId="0" fontId="0" fillId="0" borderId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1" fillId="0" borderId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0" fontId="11" fillId="0" borderId="0"/>
  </cellStyleXfs>
  <cellXfs count="57">
    <xf numFmtId="0" fontId="0" fillId="0" borderId="0" xfId="0"/>
    <xf numFmtId="0" fontId="3" fillId="0" borderId="0" xfId="4" applyAlignment="1">
      <alignment horizontal="right"/>
    </xf>
    <xf numFmtId="0" fontId="2" fillId="0" borderId="0" xfId="4" applyFont="1" applyAlignment="1">
      <alignment horizontal="left"/>
    </xf>
    <xf numFmtId="0" fontId="3" fillId="0" borderId="0" xfId="4" applyAlignment="1">
      <alignment horizontal="left"/>
    </xf>
    <xf numFmtId="0" fontId="3" fillId="0" borderId="0" xfId="2"/>
    <xf numFmtId="0" fontId="10" fillId="0" borderId="0" xfId="2" applyFont="1"/>
    <xf numFmtId="0" fontId="4" fillId="0" borderId="0" xfId="4" applyFont="1" applyAlignment="1">
      <alignment horizontal="right" vertical="center" wrapText="1"/>
    </xf>
    <xf numFmtId="164" fontId="2" fillId="0" borderId="0" xfId="0" applyNumberFormat="1" applyFont="1"/>
    <xf numFmtId="164" fontId="3" fillId="0" borderId="0" xfId="0" applyNumberFormat="1" applyFont="1"/>
    <xf numFmtId="164" fontId="4" fillId="2" borderId="1" xfId="0" applyNumberFormat="1" applyFont="1" applyFill="1" applyBorder="1" applyAlignment="1">
      <alignment horizontal="left"/>
    </xf>
    <xf numFmtId="0" fontId="0" fillId="3" borderId="0" xfId="0" applyFill="1"/>
    <xf numFmtId="0" fontId="11" fillId="3" borderId="0" xfId="0" applyFont="1" applyFill="1"/>
    <xf numFmtId="0" fontId="11" fillId="0" borderId="2" xfId="16" applyBorder="1"/>
    <xf numFmtId="0" fontId="3" fillId="0" borderId="3" xfId="2" applyBorder="1"/>
    <xf numFmtId="0" fontId="3" fillId="0" borderId="5" xfId="2" applyBorder="1"/>
    <xf numFmtId="0" fontId="3" fillId="0" borderId="2" xfId="2" applyBorder="1"/>
    <xf numFmtId="164" fontId="3" fillId="0" borderId="3" xfId="2" applyNumberFormat="1" applyBorder="1"/>
    <xf numFmtId="0" fontId="11" fillId="0" borderId="0" xfId="16"/>
    <xf numFmtId="0" fontId="0" fillId="4" borderId="0" xfId="0" applyFill="1"/>
    <xf numFmtId="0" fontId="11" fillId="4" borderId="0" xfId="0" applyFont="1" applyFill="1"/>
    <xf numFmtId="0" fontId="4" fillId="5" borderId="7" xfId="4" applyFont="1" applyFill="1" applyBorder="1" applyAlignment="1">
      <alignment horizontal="left" vertical="center"/>
    </xf>
    <xf numFmtId="0" fontId="4" fillId="5" borderId="1" xfId="4" applyFont="1" applyFill="1" applyBorder="1" applyAlignment="1">
      <alignment horizontal="left" vertical="center"/>
    </xf>
    <xf numFmtId="0" fontId="3" fillId="3" borderId="0" xfId="2" applyFill="1"/>
    <xf numFmtId="0" fontId="4" fillId="6" borderId="7" xfId="4" applyFont="1" applyFill="1" applyBorder="1" applyAlignment="1">
      <alignment horizontal="left" vertical="center"/>
    </xf>
    <xf numFmtId="0" fontId="4" fillId="6" borderId="1" xfId="4" applyFont="1" applyFill="1" applyBorder="1" applyAlignment="1">
      <alignment horizontal="left" vertical="center"/>
    </xf>
    <xf numFmtId="0" fontId="3" fillId="7" borderId="0" xfId="2" applyFill="1"/>
    <xf numFmtId="0" fontId="3" fillId="3" borderId="2" xfId="2" applyFill="1" applyBorder="1"/>
    <xf numFmtId="0" fontId="11" fillId="3" borderId="2" xfId="16" applyFill="1" applyBorder="1"/>
    <xf numFmtId="0" fontId="0" fillId="3" borderId="6" xfId="0" applyFill="1" applyBorder="1"/>
    <xf numFmtId="0" fontId="0" fillId="3" borderId="4" xfId="0" applyFill="1" applyBorder="1"/>
    <xf numFmtId="164" fontId="3" fillId="3" borderId="3" xfId="2" applyNumberFormat="1" applyFill="1" applyBorder="1"/>
    <xf numFmtId="0" fontId="3" fillId="3" borderId="3" xfId="2" applyFill="1" applyBorder="1"/>
    <xf numFmtId="0" fontId="3" fillId="3" borderId="5" xfId="2" applyFill="1" applyBorder="1"/>
    <xf numFmtId="0" fontId="11" fillId="3" borderId="0" xfId="16" applyFill="1"/>
    <xf numFmtId="0" fontId="3" fillId="3" borderId="4" xfId="2" applyFill="1" applyBorder="1"/>
    <xf numFmtId="0" fontId="3" fillId="7" borderId="4" xfId="2" applyFill="1" applyBorder="1"/>
    <xf numFmtId="0" fontId="3" fillId="8" borderId="0" xfId="2" applyFill="1"/>
    <xf numFmtId="2" fontId="3" fillId="3" borderId="0" xfId="2" applyNumberFormat="1" applyFill="1"/>
    <xf numFmtId="1" fontId="3" fillId="3" borderId="0" xfId="2" applyNumberFormat="1" applyFill="1"/>
    <xf numFmtId="0" fontId="3" fillId="8" borderId="4" xfId="2" applyFill="1" applyBorder="1"/>
    <xf numFmtId="0" fontId="4" fillId="6" borderId="1" xfId="4" applyFont="1" applyFill="1" applyBorder="1" applyAlignment="1">
      <alignment horizontal="center" vertical="center" wrapText="1"/>
    </xf>
    <xf numFmtId="0" fontId="4" fillId="6" borderId="1" xfId="4" applyFont="1" applyFill="1" applyBorder="1" applyAlignment="1">
      <alignment horizontal="center" vertical="center"/>
    </xf>
    <xf numFmtId="0" fontId="4" fillId="6" borderId="8" xfId="4" applyFont="1" applyFill="1" applyBorder="1" applyAlignment="1">
      <alignment horizontal="center" vertical="center"/>
    </xf>
    <xf numFmtId="0" fontId="4" fillId="5" borderId="1" xfId="4" applyFont="1" applyFill="1" applyBorder="1" applyAlignment="1">
      <alignment horizontal="center" vertical="center" wrapText="1"/>
    </xf>
    <xf numFmtId="0" fontId="4" fillId="5" borderId="1" xfId="4" applyFont="1" applyFill="1" applyBorder="1" applyAlignment="1">
      <alignment horizontal="center" vertical="center"/>
    </xf>
    <xf numFmtId="0" fontId="4" fillId="5" borderId="8" xfId="4" applyFont="1" applyFill="1" applyBorder="1" applyAlignment="1">
      <alignment horizontal="center" vertical="center"/>
    </xf>
    <xf numFmtId="0" fontId="0" fillId="4" borderId="9" xfId="0" applyFill="1" applyBorder="1"/>
    <xf numFmtId="0" fontId="11" fillId="4" borderId="9" xfId="0" applyFont="1" applyFill="1" applyBorder="1"/>
    <xf numFmtId="165" fontId="3" fillId="3" borderId="0" xfId="2" applyNumberFormat="1" applyFill="1"/>
    <xf numFmtId="165" fontId="3" fillId="7" borderId="0" xfId="2" applyNumberFormat="1" applyFill="1"/>
    <xf numFmtId="166" fontId="3" fillId="3" borderId="0" xfId="2" applyNumberFormat="1" applyFill="1"/>
    <xf numFmtId="166" fontId="3" fillId="7" borderId="0" xfId="2" applyNumberFormat="1" applyFill="1"/>
    <xf numFmtId="167" fontId="3" fillId="3" borderId="0" xfId="2" applyNumberFormat="1" applyFill="1"/>
    <xf numFmtId="166" fontId="3" fillId="8" borderId="0" xfId="2" applyNumberFormat="1" applyFill="1"/>
    <xf numFmtId="165" fontId="3" fillId="8" borderId="0" xfId="2" applyNumberFormat="1" applyFill="1"/>
    <xf numFmtId="2" fontId="3" fillId="7" borderId="0" xfId="2" applyNumberFormat="1" applyFill="1"/>
    <xf numFmtId="2" fontId="3" fillId="8" borderId="0" xfId="2" applyNumberFormat="1" applyFill="1"/>
  </cellXfs>
  <cellStyles count="17">
    <cellStyle name="Comma 2" xfId="1" xr:uid="{00000000-0005-0000-0000-000002000000}"/>
    <cellStyle name="Normal - Style1 2 2 3 2" xfId="16" xr:uid="{8725D294-FE0B-4682-8676-F2472F99A61F}"/>
    <cellStyle name="Normal 10" xfId="2" xr:uid="{00000000-0005-0000-0000-000005000000}"/>
    <cellStyle name="Normal 2" xfId="3" xr:uid="{00000000-0005-0000-0000-000006000000}"/>
    <cellStyle name="Normal 4" xfId="4" xr:uid="{00000000-0005-0000-0000-000007000000}"/>
    <cellStyle name="Normal 4 2" xfId="5" xr:uid="{00000000-0005-0000-0000-000008000000}"/>
    <cellStyle name="Normal 8" xfId="6" xr:uid="{00000000-0005-0000-0000-000009000000}"/>
    <cellStyle name="Normal 9 2" xfId="7" xr:uid="{00000000-0005-0000-0000-00000A000000}"/>
    <cellStyle name="Normale_B2020" xfId="8" xr:uid="{00000000-0005-0000-0000-00000B000000}"/>
    <cellStyle name="Normalny" xfId="0" builtinId="0"/>
    <cellStyle name="Percent 2" xfId="9" xr:uid="{00000000-0005-0000-0000-00000C000000}"/>
    <cellStyle name="Percent 2 2" xfId="10" xr:uid="{00000000-0005-0000-0000-00000D000000}"/>
    <cellStyle name="Percent 3" xfId="11" xr:uid="{00000000-0005-0000-0000-00000E000000}"/>
    <cellStyle name="Percent 3 2" xfId="12" xr:uid="{00000000-0005-0000-0000-00000F000000}"/>
    <cellStyle name="Percent 4" xfId="13" xr:uid="{00000000-0005-0000-0000-000010000000}"/>
    <cellStyle name="Percent 5" xfId="14" xr:uid="{00000000-0005-0000-0000-000011000000}"/>
    <cellStyle name="Standard_Sce_D_Extraction" xfId="15" xr:uid="{00000000-0005-0000-0000-000012000000}"/>
  </cellStyles>
  <dxfs count="0"/>
  <tableStyles count="0" defaultTableStyle="TableStyleMedium9" defaultPivotStyle="PivotStyleLight16"/>
  <colors>
    <mruColors>
      <color rgb="FFE7EEF5"/>
      <color rgb="FFF1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477077</xdr:colOff>
      <xdr:row>11</xdr:row>
      <xdr:rowOff>94837</xdr:rowOff>
    </xdr:from>
    <xdr:to>
      <xdr:col>23</xdr:col>
      <xdr:colOff>82123</xdr:colOff>
      <xdr:row>62</xdr:row>
      <xdr:rowOff>29746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87091A08-EF4D-09C3-47F5-B063677E0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07827" y="1895062"/>
          <a:ext cx="6844046" cy="819308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AB113"/>
  <sheetViews>
    <sheetView tabSelected="1" zoomScale="130" zoomScaleNormal="130" workbookViewId="0">
      <pane xSplit="3" topLeftCell="J1" activePane="topRight" state="frozen"/>
      <selection pane="topRight" activeCell="T20" sqref="T20"/>
    </sheetView>
  </sheetViews>
  <sheetFormatPr defaultRowHeight="12.75" x14ac:dyDescent="0.2"/>
  <cols>
    <col min="1" max="1" width="3" style="4" customWidth="1"/>
    <col min="2" max="2" width="21.28515625" style="4" customWidth="1"/>
    <col min="3" max="3" width="33.140625" style="4" customWidth="1"/>
    <col min="4" max="4" width="23.85546875" style="4" customWidth="1"/>
    <col min="5" max="5" width="11.85546875" style="4" bestFit="1" customWidth="1"/>
    <col min="6" max="6" width="12.7109375" style="4" bestFit="1" customWidth="1"/>
    <col min="7" max="7" width="13.140625" style="4" bestFit="1" customWidth="1"/>
    <col min="8" max="8" width="13.140625" style="4" customWidth="1"/>
    <col min="9" max="9" width="13.140625" style="4" bestFit="1" customWidth="1"/>
    <col min="10" max="10" width="9.7109375" style="4" customWidth="1"/>
    <col min="11" max="11" width="9" style="4" customWidth="1"/>
    <col min="12" max="12" width="8.28515625" style="4" customWidth="1"/>
    <col min="13" max="13" width="7" style="4" bestFit="1" customWidth="1"/>
    <col min="14" max="14" width="14.28515625" style="4" customWidth="1"/>
    <col min="15" max="15" width="15" style="4" bestFit="1" customWidth="1"/>
    <col min="16" max="16" width="11.5703125" style="4" bestFit="1" customWidth="1"/>
    <col min="17" max="18" width="11.5703125" style="4" customWidth="1"/>
    <col min="19" max="19" width="10.7109375" style="4" customWidth="1"/>
    <col min="20" max="20" width="16.5703125" customWidth="1"/>
    <col min="21" max="21" width="7.42578125" bestFit="1" customWidth="1"/>
    <col min="22" max="22" width="32.28515625" customWidth="1"/>
    <col min="23" max="23" width="52.28515625" bestFit="1" customWidth="1"/>
    <col min="24" max="24" width="7.140625" bestFit="1" customWidth="1"/>
    <col min="25" max="25" width="10.42578125" bestFit="1" customWidth="1"/>
    <col min="26" max="26" width="12.85546875" bestFit="1" customWidth="1"/>
    <col min="27" max="27" width="14.28515625" customWidth="1"/>
    <col min="28" max="28" width="8" bestFit="1" customWidth="1"/>
  </cols>
  <sheetData>
    <row r="1" spans="2:28" x14ac:dyDescent="0.2">
      <c r="G1" s="4" t="s">
        <v>45</v>
      </c>
    </row>
    <row r="2" spans="2:28" x14ac:dyDescent="0.2">
      <c r="T2" s="7" t="s">
        <v>8</v>
      </c>
      <c r="U2" s="7"/>
      <c r="V2" s="8"/>
      <c r="W2" s="8"/>
      <c r="X2" s="8"/>
      <c r="Y2" s="8"/>
      <c r="Z2" s="8"/>
      <c r="AA2" s="8"/>
      <c r="AB2" s="8"/>
    </row>
    <row r="3" spans="2:28" x14ac:dyDescent="0.2">
      <c r="E3" s="2" t="s">
        <v>0</v>
      </c>
      <c r="F3" s="5"/>
      <c r="G3" s="2"/>
      <c r="H3" s="2"/>
      <c r="J3" s="2"/>
      <c r="K3" s="3"/>
      <c r="L3" s="3"/>
      <c r="M3" s="1"/>
      <c r="S3" s="6"/>
      <c r="T3" s="9" t="s">
        <v>7</v>
      </c>
      <c r="U3" s="9" t="s">
        <v>17</v>
      </c>
      <c r="V3" s="9" t="s">
        <v>1</v>
      </c>
      <c r="W3" s="9" t="s">
        <v>2</v>
      </c>
      <c r="X3" s="9" t="s">
        <v>9</v>
      </c>
      <c r="Y3" s="9" t="s">
        <v>10</v>
      </c>
      <c r="Z3" s="9" t="s">
        <v>11</v>
      </c>
      <c r="AA3" s="9" t="s">
        <v>12</v>
      </c>
      <c r="AB3" s="9" t="s">
        <v>13</v>
      </c>
    </row>
    <row r="4" spans="2:28" x14ac:dyDescent="0.2">
      <c r="B4" s="20" t="s">
        <v>1</v>
      </c>
      <c r="C4" s="21" t="s">
        <v>3</v>
      </c>
      <c r="D4" s="21" t="s">
        <v>4</v>
      </c>
      <c r="E4" s="21" t="s">
        <v>20</v>
      </c>
      <c r="F4" s="43" t="s">
        <v>6</v>
      </c>
      <c r="G4" s="44" t="s">
        <v>40</v>
      </c>
      <c r="H4" s="44" t="s">
        <v>41</v>
      </c>
      <c r="I4" s="44" t="s">
        <v>14</v>
      </c>
      <c r="J4" s="44" t="s">
        <v>16</v>
      </c>
      <c r="K4" s="44" t="s">
        <v>5</v>
      </c>
      <c r="L4" s="44" t="s">
        <v>15</v>
      </c>
      <c r="M4" s="43" t="s">
        <v>18</v>
      </c>
      <c r="N4" s="43" t="s">
        <v>19</v>
      </c>
      <c r="O4" s="43" t="s">
        <v>21</v>
      </c>
      <c r="P4" s="43" t="s">
        <v>42</v>
      </c>
      <c r="Q4" s="44" t="s">
        <v>54</v>
      </c>
      <c r="R4" s="45" t="s">
        <v>44</v>
      </c>
      <c r="T4" s="10" t="s">
        <v>22</v>
      </c>
      <c r="U4" s="10" t="s">
        <v>61</v>
      </c>
      <c r="V4" s="11" t="s">
        <v>55</v>
      </c>
      <c r="W4" s="11" t="s">
        <v>49</v>
      </c>
      <c r="X4" s="11" t="s">
        <v>25</v>
      </c>
      <c r="Y4" s="10" t="s">
        <v>26</v>
      </c>
      <c r="Z4" s="10"/>
      <c r="AA4" s="10"/>
      <c r="AB4" s="10"/>
    </row>
    <row r="5" spans="2:28" x14ac:dyDescent="0.2">
      <c r="B5" s="30" t="str">
        <f>V4</f>
        <v>AGR_NEW_BIOG_MAN</v>
      </c>
      <c r="C5" s="22"/>
      <c r="D5" s="22"/>
      <c r="E5" s="22"/>
      <c r="F5" s="22">
        <v>2005</v>
      </c>
      <c r="G5" s="22"/>
      <c r="H5" s="22"/>
      <c r="I5" s="22">
        <v>1</v>
      </c>
      <c r="J5" s="52">
        <v>5.2511415525114149</v>
      </c>
      <c r="K5" s="22">
        <v>0</v>
      </c>
      <c r="L5" s="22">
        <v>0.57499999999999996</v>
      </c>
      <c r="M5" s="22">
        <v>25</v>
      </c>
      <c r="N5" s="22"/>
      <c r="O5" s="33">
        <v>1</v>
      </c>
      <c r="P5" s="22"/>
      <c r="Q5" s="22"/>
      <c r="R5" s="29"/>
      <c r="T5" s="18" t="s">
        <v>22</v>
      </c>
      <c r="U5" s="18" t="s">
        <v>61</v>
      </c>
      <c r="V5" s="19" t="s">
        <v>48</v>
      </c>
      <c r="W5" s="18" t="s">
        <v>50</v>
      </c>
      <c r="X5" s="19" t="s">
        <v>25</v>
      </c>
      <c r="Y5" s="18" t="s">
        <v>26</v>
      </c>
      <c r="Z5" s="18"/>
      <c r="AA5" s="18"/>
      <c r="AB5" s="18"/>
    </row>
    <row r="6" spans="2:28" x14ac:dyDescent="0.2">
      <c r="B6" s="31"/>
      <c r="C6" s="22" t="s">
        <v>27</v>
      </c>
      <c r="D6" s="22"/>
      <c r="E6" s="22"/>
      <c r="F6" s="22"/>
      <c r="G6" s="48">
        <v>0.30590000000000001</v>
      </c>
      <c r="H6" s="22"/>
      <c r="I6" s="22"/>
      <c r="J6" s="22"/>
      <c r="K6" s="22"/>
      <c r="L6" s="22"/>
      <c r="M6" s="22"/>
      <c r="N6" s="22"/>
      <c r="O6" s="22"/>
      <c r="P6" s="50">
        <v>0.14024190912062767</v>
      </c>
      <c r="Q6" s="37">
        <v>0</v>
      </c>
      <c r="R6" s="34">
        <v>3</v>
      </c>
      <c r="T6" s="10" t="s">
        <v>22</v>
      </c>
      <c r="U6" s="10" t="s">
        <v>61</v>
      </c>
      <c r="V6" s="11" t="s">
        <v>59</v>
      </c>
      <c r="W6" s="11" t="s">
        <v>60</v>
      </c>
      <c r="X6" s="11" t="s">
        <v>25</v>
      </c>
      <c r="Y6" s="10" t="s">
        <v>26</v>
      </c>
      <c r="Z6" s="10"/>
      <c r="AA6" s="10"/>
      <c r="AB6" s="10"/>
    </row>
    <row r="7" spans="2:28" x14ac:dyDescent="0.2">
      <c r="B7" s="31"/>
      <c r="C7" s="25" t="s">
        <v>28</v>
      </c>
      <c r="D7" s="25"/>
      <c r="E7" s="25"/>
      <c r="F7" s="25"/>
      <c r="G7" s="49">
        <v>0.30590000000000001</v>
      </c>
      <c r="H7" s="25"/>
      <c r="I7" s="25"/>
      <c r="J7" s="25"/>
      <c r="K7" s="25"/>
      <c r="L7" s="25"/>
      <c r="M7" s="25"/>
      <c r="N7" s="25"/>
      <c r="O7" s="25"/>
      <c r="P7" s="51">
        <v>0.14024190912062767</v>
      </c>
      <c r="Q7" s="55">
        <v>0</v>
      </c>
      <c r="R7" s="35">
        <v>3</v>
      </c>
      <c r="T7" s="18" t="s">
        <v>22</v>
      </c>
      <c r="U7" s="18" t="s">
        <v>61</v>
      </c>
      <c r="V7" s="19" t="s">
        <v>56</v>
      </c>
      <c r="W7" s="18" t="s">
        <v>51</v>
      </c>
      <c r="X7" s="19" t="s">
        <v>25</v>
      </c>
      <c r="Y7" s="18" t="s">
        <v>26</v>
      </c>
      <c r="Z7" s="18"/>
      <c r="AA7" s="18"/>
      <c r="AB7" s="18"/>
    </row>
    <row r="8" spans="2:28" x14ac:dyDescent="0.2">
      <c r="B8" s="31"/>
      <c r="C8" s="22" t="s">
        <v>29</v>
      </c>
      <c r="D8" s="22"/>
      <c r="E8" s="22"/>
      <c r="F8" s="22"/>
      <c r="G8" s="48">
        <v>0.38855000000000001</v>
      </c>
      <c r="H8" s="22"/>
      <c r="I8" s="22"/>
      <c r="J8" s="22"/>
      <c r="K8" s="22"/>
      <c r="L8" s="22"/>
      <c r="M8" s="22"/>
      <c r="N8" s="22"/>
      <c r="O8" s="22"/>
      <c r="P8" s="50">
        <v>0.11041050057907605</v>
      </c>
      <c r="Q8" s="37">
        <v>0</v>
      </c>
      <c r="R8" s="34">
        <v>3</v>
      </c>
      <c r="T8" s="10" t="s">
        <v>22</v>
      </c>
      <c r="U8" s="10" t="s">
        <v>61</v>
      </c>
      <c r="V8" s="11" t="s">
        <v>57</v>
      </c>
      <c r="W8" s="11" t="s">
        <v>52</v>
      </c>
      <c r="X8" s="11" t="s">
        <v>25</v>
      </c>
      <c r="Y8" s="10" t="s">
        <v>26</v>
      </c>
      <c r="Z8" s="10"/>
      <c r="AA8" s="10"/>
      <c r="AB8" s="10"/>
    </row>
    <row r="9" spans="2:28" ht="13.5" thickBot="1" x14ac:dyDescent="0.25">
      <c r="B9" s="31"/>
      <c r="C9" s="25" t="s">
        <v>30</v>
      </c>
      <c r="D9" s="25"/>
      <c r="E9" s="25"/>
      <c r="F9" s="25"/>
      <c r="G9" s="49">
        <v>0.30590000000000001</v>
      </c>
      <c r="H9" s="25"/>
      <c r="I9" s="25"/>
      <c r="J9" s="25"/>
      <c r="K9" s="25"/>
      <c r="L9" s="25"/>
      <c r="M9" s="25"/>
      <c r="N9" s="25"/>
      <c r="O9" s="25"/>
      <c r="P9" s="51">
        <v>0.14024190912062767</v>
      </c>
      <c r="Q9" s="55">
        <v>0</v>
      </c>
      <c r="R9" s="35">
        <v>3</v>
      </c>
      <c r="T9" s="46" t="s">
        <v>22</v>
      </c>
      <c r="U9" s="46" t="s">
        <v>61</v>
      </c>
      <c r="V9" s="47" t="s">
        <v>58</v>
      </c>
      <c r="W9" s="46" t="s">
        <v>53</v>
      </c>
      <c r="X9" s="47" t="s">
        <v>25</v>
      </c>
      <c r="Y9" s="46" t="s">
        <v>26</v>
      </c>
      <c r="Z9" s="46"/>
      <c r="AA9" s="46"/>
      <c r="AB9" s="46"/>
    </row>
    <row r="10" spans="2:28" ht="13.5" thickTop="1" x14ac:dyDescent="0.2">
      <c r="B10" s="31"/>
      <c r="C10" s="22" t="s">
        <v>31</v>
      </c>
      <c r="D10" s="22"/>
      <c r="E10" s="22"/>
      <c r="F10" s="22"/>
      <c r="G10" s="48">
        <v>0.30590000000000001</v>
      </c>
      <c r="H10" s="22"/>
      <c r="I10" s="22"/>
      <c r="J10" s="22"/>
      <c r="K10" s="22"/>
      <c r="L10" s="22"/>
      <c r="M10" s="22"/>
      <c r="N10" s="22"/>
      <c r="O10" s="22"/>
      <c r="P10" s="50">
        <v>0.14024190912062767</v>
      </c>
      <c r="Q10" s="37">
        <v>0</v>
      </c>
      <c r="R10" s="34">
        <v>3</v>
      </c>
    </row>
    <row r="11" spans="2:28" x14ac:dyDescent="0.2">
      <c r="B11" s="31"/>
      <c r="C11" s="25" t="s">
        <v>32</v>
      </c>
      <c r="D11" s="25"/>
      <c r="E11" s="25"/>
      <c r="F11" s="25"/>
      <c r="G11" s="49">
        <v>0.30590000000000001</v>
      </c>
      <c r="H11" s="25"/>
      <c r="I11" s="25"/>
      <c r="J11" s="25"/>
      <c r="K11" s="25"/>
      <c r="L11" s="25"/>
      <c r="M11" s="25"/>
      <c r="N11" s="25"/>
      <c r="O11" s="25"/>
      <c r="P11" s="51">
        <v>0.14024190912062767</v>
      </c>
      <c r="Q11" s="55">
        <v>0</v>
      </c>
      <c r="R11" s="35">
        <v>3</v>
      </c>
    </row>
    <row r="12" spans="2:28" x14ac:dyDescent="0.2">
      <c r="B12" s="31"/>
      <c r="C12" s="22" t="s">
        <v>33</v>
      </c>
      <c r="D12" s="22"/>
      <c r="E12" s="22"/>
      <c r="F12" s="22"/>
      <c r="G12" s="48">
        <v>0.30590000000000001</v>
      </c>
      <c r="H12" s="22"/>
      <c r="I12" s="22"/>
      <c r="J12" s="22"/>
      <c r="K12" s="22"/>
      <c r="L12" s="22"/>
      <c r="M12" s="22"/>
      <c r="N12" s="22"/>
      <c r="O12" s="22"/>
      <c r="P12" s="50">
        <v>0.14024190912062767</v>
      </c>
      <c r="Q12" s="37">
        <v>0</v>
      </c>
      <c r="R12" s="34">
        <v>3</v>
      </c>
    </row>
    <row r="13" spans="2:28" x14ac:dyDescent="0.2">
      <c r="B13" s="31"/>
      <c r="C13" s="25" t="s">
        <v>34</v>
      </c>
      <c r="D13" s="25"/>
      <c r="E13" s="25"/>
      <c r="F13" s="25"/>
      <c r="G13" s="49">
        <v>0.30590000000000001</v>
      </c>
      <c r="H13" s="25"/>
      <c r="I13" s="25"/>
      <c r="J13" s="25"/>
      <c r="K13" s="25"/>
      <c r="L13" s="25"/>
      <c r="M13" s="25"/>
      <c r="N13" s="25"/>
      <c r="O13" s="25"/>
      <c r="P13" s="51">
        <v>0.14024190912062767</v>
      </c>
      <c r="Q13" s="55">
        <v>0</v>
      </c>
      <c r="R13" s="35">
        <v>3</v>
      </c>
    </row>
    <row r="14" spans="2:28" x14ac:dyDescent="0.2">
      <c r="B14" s="31"/>
      <c r="C14" s="22" t="s">
        <v>35</v>
      </c>
      <c r="D14" s="22"/>
      <c r="E14" s="22"/>
      <c r="F14" s="22"/>
      <c r="G14" s="48">
        <v>9.7849999999999993E-2</v>
      </c>
      <c r="H14" s="22"/>
      <c r="I14" s="22"/>
      <c r="J14" s="22"/>
      <c r="K14" s="22"/>
      <c r="L14" s="22"/>
      <c r="M14" s="22"/>
      <c r="N14" s="22"/>
      <c r="O14" s="22"/>
      <c r="P14" s="50">
        <v>0.56995401124169653</v>
      </c>
      <c r="Q14" s="37">
        <v>0.45</v>
      </c>
      <c r="R14" s="34">
        <v>3</v>
      </c>
    </row>
    <row r="15" spans="2:28" x14ac:dyDescent="0.2">
      <c r="B15" s="31"/>
      <c r="C15" s="25" t="s">
        <v>36</v>
      </c>
      <c r="D15" s="25"/>
      <c r="E15" s="25"/>
      <c r="F15" s="25"/>
      <c r="G15" s="49">
        <v>9.7849999999999993E-2</v>
      </c>
      <c r="H15" s="25"/>
      <c r="I15" s="25"/>
      <c r="J15" s="25"/>
      <c r="K15" s="25"/>
      <c r="L15" s="25"/>
      <c r="M15" s="25"/>
      <c r="N15" s="25"/>
      <c r="O15" s="25"/>
      <c r="P15" s="51">
        <v>0.56995401124169653</v>
      </c>
      <c r="Q15" s="55">
        <v>0.15</v>
      </c>
      <c r="R15" s="35">
        <v>3</v>
      </c>
    </row>
    <row r="16" spans="2:28" x14ac:dyDescent="0.2">
      <c r="B16" s="31"/>
      <c r="C16" s="22" t="s">
        <v>37</v>
      </c>
      <c r="D16" s="22"/>
      <c r="E16" s="22"/>
      <c r="F16" s="22"/>
      <c r="G16" s="48">
        <v>1.1875E-2</v>
      </c>
      <c r="H16" s="22"/>
      <c r="I16" s="22"/>
      <c r="J16" s="22"/>
      <c r="K16" s="22"/>
      <c r="L16" s="22"/>
      <c r="M16" s="22"/>
      <c r="N16" s="22"/>
      <c r="O16" s="22"/>
      <c r="P16" s="50">
        <v>4.6964210526315791</v>
      </c>
      <c r="Q16" s="37">
        <v>0.3</v>
      </c>
      <c r="R16" s="34">
        <v>3</v>
      </c>
    </row>
    <row r="17" spans="2:18" x14ac:dyDescent="0.2">
      <c r="B17" s="31"/>
      <c r="C17" s="25" t="s">
        <v>38</v>
      </c>
      <c r="D17" s="25"/>
      <c r="E17" s="25"/>
      <c r="F17" s="25"/>
      <c r="G17" s="49">
        <v>8.8349999999999998E-2</v>
      </c>
      <c r="H17" s="25"/>
      <c r="I17" s="25"/>
      <c r="J17" s="25"/>
      <c r="K17" s="25"/>
      <c r="L17" s="25"/>
      <c r="M17" s="25"/>
      <c r="N17" s="25"/>
      <c r="O17" s="25"/>
      <c r="P17" s="51">
        <v>0.63123938879456709</v>
      </c>
      <c r="Q17" s="55">
        <v>0.1</v>
      </c>
      <c r="R17" s="35">
        <v>3</v>
      </c>
    </row>
    <row r="18" spans="2:18" x14ac:dyDescent="0.2">
      <c r="B18" s="32"/>
      <c r="C18" s="26"/>
      <c r="D18" s="26" t="s">
        <v>43</v>
      </c>
      <c r="E18" s="26"/>
      <c r="F18" s="26"/>
      <c r="G18" s="26"/>
      <c r="H18" s="26">
        <v>2.3E-2</v>
      </c>
      <c r="I18" s="26"/>
      <c r="J18" s="26"/>
      <c r="K18" s="26"/>
      <c r="L18" s="26"/>
      <c r="M18" s="26"/>
      <c r="N18" s="26"/>
      <c r="O18" s="27"/>
      <c r="P18" s="26"/>
      <c r="Q18" s="26"/>
      <c r="R18" s="28"/>
    </row>
    <row r="20" spans="2:18" x14ac:dyDescent="0.2">
      <c r="E20" s="2" t="s">
        <v>0</v>
      </c>
      <c r="F20" s="5"/>
      <c r="G20" s="2"/>
      <c r="H20" s="2"/>
      <c r="J20" s="2"/>
      <c r="K20" s="3"/>
      <c r="L20" s="3"/>
      <c r="M20" s="1"/>
    </row>
    <row r="21" spans="2:18" x14ac:dyDescent="0.2">
      <c r="B21" s="20" t="s">
        <v>1</v>
      </c>
      <c r="C21" s="21" t="s">
        <v>3</v>
      </c>
      <c r="D21" s="21" t="s">
        <v>4</v>
      </c>
      <c r="E21" s="21" t="s">
        <v>20</v>
      </c>
      <c r="F21" s="43" t="s">
        <v>6</v>
      </c>
      <c r="G21" s="44" t="s">
        <v>40</v>
      </c>
      <c r="H21" s="44" t="s">
        <v>41</v>
      </c>
      <c r="I21" s="44" t="s">
        <v>14</v>
      </c>
      <c r="J21" s="44" t="s">
        <v>16</v>
      </c>
      <c r="K21" s="44" t="s">
        <v>5</v>
      </c>
      <c r="L21" s="44" t="s">
        <v>15</v>
      </c>
      <c r="M21" s="43" t="s">
        <v>18</v>
      </c>
      <c r="N21" s="43" t="s">
        <v>19</v>
      </c>
      <c r="O21" s="43" t="s">
        <v>21</v>
      </c>
      <c r="P21" s="43" t="s">
        <v>42</v>
      </c>
      <c r="Q21" s="44" t="s">
        <v>54</v>
      </c>
      <c r="R21" s="45" t="s">
        <v>44</v>
      </c>
    </row>
    <row r="22" spans="2:18" x14ac:dyDescent="0.2">
      <c r="B22" s="30" t="str">
        <f>V5</f>
        <v>AGR_NEW_BIOG_MIX</v>
      </c>
      <c r="C22" s="22"/>
      <c r="D22" s="22"/>
      <c r="E22" s="22"/>
      <c r="F22" s="22">
        <v>2005</v>
      </c>
      <c r="G22" s="22"/>
      <c r="H22" s="22"/>
      <c r="I22" s="22">
        <v>1</v>
      </c>
      <c r="J22" s="52">
        <v>5.2511415525114149</v>
      </c>
      <c r="K22" s="22">
        <v>0</v>
      </c>
      <c r="L22" s="22">
        <v>0.57499999999999996</v>
      </c>
      <c r="M22" s="22">
        <v>25</v>
      </c>
      <c r="N22" s="22"/>
      <c r="O22" s="33">
        <v>1</v>
      </c>
      <c r="P22" s="22"/>
      <c r="Q22" s="22"/>
      <c r="R22" s="29"/>
    </row>
    <row r="23" spans="2:18" x14ac:dyDescent="0.2">
      <c r="B23" s="31"/>
      <c r="C23" s="22" t="s">
        <v>27</v>
      </c>
      <c r="D23" s="22"/>
      <c r="E23" s="22"/>
      <c r="F23" s="22"/>
      <c r="G23" s="48">
        <v>0.30590000000000001</v>
      </c>
      <c r="H23" s="22"/>
      <c r="I23" s="22"/>
      <c r="J23" s="22"/>
      <c r="K23" s="22"/>
      <c r="L23" s="22"/>
      <c r="M23" s="22"/>
      <c r="N23" s="22"/>
      <c r="O23" s="22"/>
      <c r="P23" s="50">
        <v>0.14024190912062767</v>
      </c>
      <c r="Q23" s="37">
        <v>0.06</v>
      </c>
      <c r="R23" s="34">
        <v>3</v>
      </c>
    </row>
    <row r="24" spans="2:18" x14ac:dyDescent="0.2">
      <c r="B24" s="31"/>
      <c r="C24" s="25" t="s">
        <v>28</v>
      </c>
      <c r="D24" s="25"/>
      <c r="E24" s="25"/>
      <c r="F24" s="25"/>
      <c r="G24" s="49">
        <v>0.30590000000000001</v>
      </c>
      <c r="H24" s="25"/>
      <c r="I24" s="25"/>
      <c r="J24" s="25"/>
      <c r="K24" s="25"/>
      <c r="L24" s="25"/>
      <c r="M24" s="25"/>
      <c r="N24" s="25"/>
      <c r="O24" s="25"/>
      <c r="P24" s="51">
        <v>0.14024190912062767</v>
      </c>
      <c r="Q24" s="55">
        <v>0.03</v>
      </c>
      <c r="R24" s="35">
        <v>3</v>
      </c>
    </row>
    <row r="25" spans="2:18" x14ac:dyDescent="0.2">
      <c r="B25" s="31"/>
      <c r="C25" s="22" t="s">
        <v>29</v>
      </c>
      <c r="D25" s="22"/>
      <c r="E25" s="22"/>
      <c r="F25" s="22"/>
      <c r="G25" s="48">
        <v>0.38855000000000001</v>
      </c>
      <c r="H25" s="22"/>
      <c r="I25" s="22"/>
      <c r="J25" s="22"/>
      <c r="K25" s="22"/>
      <c r="L25" s="22"/>
      <c r="M25" s="22"/>
      <c r="N25" s="22"/>
      <c r="O25" s="22"/>
      <c r="P25" s="50">
        <v>0.11041050057907605</v>
      </c>
      <c r="Q25" s="37">
        <v>0.3</v>
      </c>
      <c r="R25" s="34">
        <v>3</v>
      </c>
    </row>
    <row r="26" spans="2:18" x14ac:dyDescent="0.2">
      <c r="B26" s="31"/>
      <c r="C26" s="25" t="s">
        <v>30</v>
      </c>
      <c r="D26" s="25"/>
      <c r="E26" s="25"/>
      <c r="F26" s="25"/>
      <c r="G26" s="49">
        <v>0.30590000000000001</v>
      </c>
      <c r="H26" s="25"/>
      <c r="I26" s="25"/>
      <c r="J26" s="25"/>
      <c r="K26" s="25"/>
      <c r="L26" s="25"/>
      <c r="M26" s="25"/>
      <c r="N26" s="25"/>
      <c r="O26" s="25"/>
      <c r="P26" s="51">
        <v>0.14024190912062767</v>
      </c>
      <c r="Q26" s="55">
        <v>0.03</v>
      </c>
      <c r="R26" s="35">
        <v>3</v>
      </c>
    </row>
    <row r="27" spans="2:18" x14ac:dyDescent="0.2">
      <c r="B27" s="31"/>
      <c r="C27" s="22" t="s">
        <v>31</v>
      </c>
      <c r="D27" s="22"/>
      <c r="E27" s="22"/>
      <c r="F27" s="22"/>
      <c r="G27" s="48">
        <v>0.30590000000000001</v>
      </c>
      <c r="H27" s="22"/>
      <c r="I27" s="22"/>
      <c r="J27" s="22"/>
      <c r="K27" s="22"/>
      <c r="L27" s="22"/>
      <c r="M27" s="22"/>
      <c r="N27" s="22"/>
      <c r="O27" s="22"/>
      <c r="P27" s="50">
        <v>0.14024190912062767</v>
      </c>
      <c r="Q27" s="37">
        <v>0.02</v>
      </c>
      <c r="R27" s="34">
        <v>3</v>
      </c>
    </row>
    <row r="28" spans="2:18" x14ac:dyDescent="0.2">
      <c r="B28" s="31"/>
      <c r="C28" s="25" t="s">
        <v>32</v>
      </c>
      <c r="D28" s="25"/>
      <c r="E28" s="25"/>
      <c r="F28" s="25"/>
      <c r="G28" s="49">
        <v>0.30590000000000001</v>
      </c>
      <c r="H28" s="25"/>
      <c r="I28" s="25"/>
      <c r="J28" s="25"/>
      <c r="K28" s="25"/>
      <c r="L28" s="25"/>
      <c r="M28" s="25"/>
      <c r="N28" s="25"/>
      <c r="O28" s="25"/>
      <c r="P28" s="51">
        <v>0.14024190912062767</v>
      </c>
      <c r="Q28" s="55">
        <v>0.01</v>
      </c>
      <c r="R28" s="35">
        <v>3</v>
      </c>
    </row>
    <row r="29" spans="2:18" x14ac:dyDescent="0.2">
      <c r="B29" s="31"/>
      <c r="C29" s="22" t="s">
        <v>33</v>
      </c>
      <c r="D29" s="22"/>
      <c r="E29" s="22"/>
      <c r="F29" s="22"/>
      <c r="G29" s="48">
        <v>0.30590000000000001</v>
      </c>
      <c r="H29" s="22"/>
      <c r="I29" s="22"/>
      <c r="J29" s="22"/>
      <c r="K29" s="22"/>
      <c r="L29" s="22"/>
      <c r="M29" s="22"/>
      <c r="N29" s="22"/>
      <c r="O29" s="22"/>
      <c r="P29" s="50">
        <v>0.14024190912062767</v>
      </c>
      <c r="Q29" s="37">
        <v>0.01</v>
      </c>
      <c r="R29" s="34">
        <v>3</v>
      </c>
    </row>
    <row r="30" spans="2:18" x14ac:dyDescent="0.2">
      <c r="B30" s="31"/>
      <c r="C30" s="25" t="s">
        <v>34</v>
      </c>
      <c r="D30" s="25"/>
      <c r="E30" s="25"/>
      <c r="F30" s="25"/>
      <c r="G30" s="49">
        <v>0.30590000000000001</v>
      </c>
      <c r="H30" s="25"/>
      <c r="I30" s="25"/>
      <c r="J30" s="25"/>
      <c r="K30" s="25"/>
      <c r="L30" s="25"/>
      <c r="M30" s="25"/>
      <c r="N30" s="25"/>
      <c r="O30" s="25"/>
      <c r="P30" s="51">
        <v>0.14024190912062767</v>
      </c>
      <c r="Q30" s="55">
        <v>0</v>
      </c>
      <c r="R30" s="35">
        <v>3</v>
      </c>
    </row>
    <row r="31" spans="2:18" x14ac:dyDescent="0.2">
      <c r="B31" s="31"/>
      <c r="C31" s="22" t="s">
        <v>35</v>
      </c>
      <c r="D31" s="22"/>
      <c r="E31" s="22"/>
      <c r="F31" s="22"/>
      <c r="G31" s="48">
        <v>9.7849999999999993E-2</v>
      </c>
      <c r="H31" s="22"/>
      <c r="I31" s="22"/>
      <c r="J31" s="22"/>
      <c r="K31" s="22"/>
      <c r="L31" s="22"/>
      <c r="M31" s="22"/>
      <c r="N31" s="22"/>
      <c r="O31" s="22"/>
      <c r="P31" s="50">
        <v>0.56995401124169653</v>
      </c>
      <c r="Q31" s="37">
        <v>0.25</v>
      </c>
      <c r="R31" s="34">
        <v>3</v>
      </c>
    </row>
    <row r="32" spans="2:18" x14ac:dyDescent="0.2">
      <c r="B32" s="31"/>
      <c r="C32" s="25" t="s">
        <v>36</v>
      </c>
      <c r="D32" s="25"/>
      <c r="E32" s="25"/>
      <c r="F32" s="25"/>
      <c r="G32" s="49">
        <v>9.7849999999999993E-2</v>
      </c>
      <c r="H32" s="25"/>
      <c r="I32" s="25"/>
      <c r="J32" s="25"/>
      <c r="K32" s="25"/>
      <c r="L32" s="25"/>
      <c r="M32" s="25"/>
      <c r="N32" s="25"/>
      <c r="O32" s="25"/>
      <c r="P32" s="51">
        <v>0.56995401124169653</v>
      </c>
      <c r="Q32" s="55">
        <v>0.08</v>
      </c>
      <c r="R32" s="35">
        <v>3</v>
      </c>
    </row>
    <row r="33" spans="2:18" x14ac:dyDescent="0.2">
      <c r="B33" s="31"/>
      <c r="C33" s="22" t="s">
        <v>37</v>
      </c>
      <c r="D33" s="22"/>
      <c r="E33" s="22"/>
      <c r="F33" s="22"/>
      <c r="G33" s="48">
        <v>1.1875E-2</v>
      </c>
      <c r="H33" s="22"/>
      <c r="I33" s="22"/>
      <c r="J33" s="22"/>
      <c r="K33" s="22"/>
      <c r="L33" s="22"/>
      <c r="M33" s="22"/>
      <c r="N33" s="22"/>
      <c r="O33" s="22"/>
      <c r="P33" s="50">
        <v>4.6964210526315791</v>
      </c>
      <c r="Q33" s="37">
        <v>0.15</v>
      </c>
      <c r="R33" s="34">
        <v>3</v>
      </c>
    </row>
    <row r="34" spans="2:18" x14ac:dyDescent="0.2">
      <c r="B34" s="31"/>
      <c r="C34" s="25" t="s">
        <v>38</v>
      </c>
      <c r="D34" s="25"/>
      <c r="E34" s="25"/>
      <c r="F34" s="25"/>
      <c r="G34" s="49">
        <v>8.8349999999999998E-2</v>
      </c>
      <c r="H34" s="25"/>
      <c r="I34" s="25"/>
      <c r="J34" s="25"/>
      <c r="K34" s="25"/>
      <c r="L34" s="25"/>
      <c r="M34" s="25"/>
      <c r="N34" s="25"/>
      <c r="O34" s="25"/>
      <c r="P34" s="51">
        <v>0.63123938879456709</v>
      </c>
      <c r="Q34" s="55">
        <v>0.06</v>
      </c>
      <c r="R34" s="35">
        <v>3</v>
      </c>
    </row>
    <row r="35" spans="2:18" x14ac:dyDescent="0.2">
      <c r="B35" s="32"/>
      <c r="C35" s="26"/>
      <c r="D35" s="26" t="s">
        <v>43</v>
      </c>
      <c r="E35" s="26"/>
      <c r="F35" s="26"/>
      <c r="G35" s="26"/>
      <c r="H35" s="26">
        <v>2.3E-2</v>
      </c>
      <c r="I35" s="26"/>
      <c r="J35" s="26"/>
      <c r="K35" s="26"/>
      <c r="L35" s="26"/>
      <c r="M35" s="26"/>
      <c r="N35" s="26"/>
      <c r="O35" s="27"/>
      <c r="P35" s="26"/>
      <c r="Q35" s="26"/>
      <c r="R35" s="28"/>
    </row>
    <row r="37" spans="2:18" x14ac:dyDescent="0.2">
      <c r="E37" s="2" t="s">
        <v>0</v>
      </c>
      <c r="F37" s="5"/>
      <c r="G37" s="2"/>
      <c r="H37" s="2"/>
      <c r="J37" s="2"/>
      <c r="K37" s="3"/>
      <c r="L37" s="3"/>
      <c r="M37" s="1"/>
    </row>
    <row r="38" spans="2:18" x14ac:dyDescent="0.2">
      <c r="B38" s="20" t="s">
        <v>1</v>
      </c>
      <c r="C38" s="21" t="s">
        <v>3</v>
      </c>
      <c r="D38" s="21" t="s">
        <v>4</v>
      </c>
      <c r="E38" s="21" t="s">
        <v>20</v>
      </c>
      <c r="F38" s="43" t="s">
        <v>6</v>
      </c>
      <c r="G38" s="44" t="s">
        <v>40</v>
      </c>
      <c r="H38" s="44" t="s">
        <v>41</v>
      </c>
      <c r="I38" s="44" t="s">
        <v>14</v>
      </c>
      <c r="J38" s="44" t="s">
        <v>16</v>
      </c>
      <c r="K38" s="44" t="s">
        <v>5</v>
      </c>
      <c r="L38" s="44" t="s">
        <v>15</v>
      </c>
      <c r="M38" s="43" t="s">
        <v>18</v>
      </c>
      <c r="N38" s="43" t="s">
        <v>19</v>
      </c>
      <c r="O38" s="43" t="s">
        <v>21</v>
      </c>
      <c r="P38" s="43" t="s">
        <v>42</v>
      </c>
      <c r="Q38" s="44" t="s">
        <v>54</v>
      </c>
      <c r="R38" s="45" t="s">
        <v>44</v>
      </c>
    </row>
    <row r="39" spans="2:18" x14ac:dyDescent="0.2">
      <c r="B39" s="30" t="str">
        <f>V6</f>
        <v>AGR_NEW_BIOG_LIGN</v>
      </c>
      <c r="C39" s="22"/>
      <c r="D39" s="22"/>
      <c r="E39" s="22"/>
      <c r="F39" s="22">
        <v>2005</v>
      </c>
      <c r="G39" s="22"/>
      <c r="H39" s="22"/>
      <c r="I39" s="22">
        <v>1</v>
      </c>
      <c r="J39" s="52">
        <v>5.2511415525114149</v>
      </c>
      <c r="K39" s="22">
        <v>0</v>
      </c>
      <c r="L39" s="22">
        <v>0.57499999999999996</v>
      </c>
      <c r="M39" s="22">
        <v>25</v>
      </c>
      <c r="N39" s="22"/>
      <c r="O39" s="33">
        <v>1</v>
      </c>
      <c r="P39" s="22"/>
      <c r="Q39" s="22"/>
      <c r="R39" s="29"/>
    </row>
    <row r="40" spans="2:18" x14ac:dyDescent="0.2">
      <c r="B40" s="31"/>
      <c r="C40" s="22" t="s">
        <v>27</v>
      </c>
      <c r="D40" s="22"/>
      <c r="E40" s="22"/>
      <c r="F40" s="22"/>
      <c r="G40" s="48">
        <v>0.30590000000000001</v>
      </c>
      <c r="H40" s="22"/>
      <c r="I40" s="22"/>
      <c r="J40" s="22"/>
      <c r="K40" s="22"/>
      <c r="L40" s="22"/>
      <c r="M40" s="22"/>
      <c r="N40" s="22"/>
      <c r="O40" s="22"/>
      <c r="P40" s="50">
        <v>0.14024190912062767</v>
      </c>
      <c r="Q40" s="37">
        <v>0.32</v>
      </c>
      <c r="R40" s="34">
        <v>3</v>
      </c>
    </row>
    <row r="41" spans="2:18" x14ac:dyDescent="0.2">
      <c r="B41" s="31"/>
      <c r="C41" s="25" t="s">
        <v>28</v>
      </c>
      <c r="D41" s="25"/>
      <c r="E41" s="25"/>
      <c r="F41" s="25"/>
      <c r="G41" s="49">
        <v>0.30590000000000001</v>
      </c>
      <c r="H41" s="25"/>
      <c r="I41" s="25"/>
      <c r="J41" s="25"/>
      <c r="K41" s="25"/>
      <c r="L41" s="25"/>
      <c r="M41" s="25"/>
      <c r="N41" s="25"/>
      <c r="O41" s="25"/>
      <c r="P41" s="51">
        <v>0.14024190912062767</v>
      </c>
      <c r="Q41" s="55">
        <v>0.2</v>
      </c>
      <c r="R41" s="35">
        <v>3</v>
      </c>
    </row>
    <row r="42" spans="2:18" x14ac:dyDescent="0.2">
      <c r="B42" s="31"/>
      <c r="C42" s="22" t="s">
        <v>29</v>
      </c>
      <c r="D42" s="22"/>
      <c r="E42" s="22"/>
      <c r="F42" s="22"/>
      <c r="G42" s="48">
        <v>0.38855000000000001</v>
      </c>
      <c r="H42" s="22"/>
      <c r="I42" s="22"/>
      <c r="J42" s="22"/>
      <c r="K42" s="22"/>
      <c r="L42" s="22"/>
      <c r="M42" s="22"/>
      <c r="N42" s="22"/>
      <c r="O42" s="22"/>
      <c r="P42" s="50">
        <v>0.11041050057907605</v>
      </c>
      <c r="Q42" s="37">
        <v>0.1</v>
      </c>
      <c r="R42" s="34">
        <v>3</v>
      </c>
    </row>
    <row r="43" spans="2:18" x14ac:dyDescent="0.2">
      <c r="B43" s="31"/>
      <c r="C43" s="25" t="s">
        <v>30</v>
      </c>
      <c r="D43" s="25"/>
      <c r="E43" s="25"/>
      <c r="F43" s="25"/>
      <c r="G43" s="49">
        <v>0.30590000000000001</v>
      </c>
      <c r="H43" s="25"/>
      <c r="I43" s="25"/>
      <c r="J43" s="25"/>
      <c r="K43" s="25"/>
      <c r="L43" s="25"/>
      <c r="M43" s="25"/>
      <c r="N43" s="25"/>
      <c r="O43" s="25"/>
      <c r="P43" s="51">
        <v>0.14024190912062767</v>
      </c>
      <c r="Q43" s="55">
        <v>0.12</v>
      </c>
      <c r="R43" s="35">
        <v>3</v>
      </c>
    </row>
    <row r="44" spans="2:18" x14ac:dyDescent="0.2">
      <c r="B44" s="31"/>
      <c r="C44" s="22" t="s">
        <v>31</v>
      </c>
      <c r="D44" s="22"/>
      <c r="E44" s="22"/>
      <c r="F44" s="22"/>
      <c r="G44" s="48">
        <v>0.30590000000000001</v>
      </c>
      <c r="H44" s="22"/>
      <c r="I44" s="22"/>
      <c r="J44" s="22"/>
      <c r="K44" s="22"/>
      <c r="L44" s="22"/>
      <c r="M44" s="22"/>
      <c r="N44" s="22"/>
      <c r="O44" s="22"/>
      <c r="P44" s="50">
        <v>0.14024190912062767</v>
      </c>
      <c r="Q44" s="37">
        <v>0.1</v>
      </c>
      <c r="R44" s="34">
        <v>3</v>
      </c>
    </row>
    <row r="45" spans="2:18" x14ac:dyDescent="0.2">
      <c r="B45" s="31"/>
      <c r="C45" s="25" t="s">
        <v>32</v>
      </c>
      <c r="D45" s="25"/>
      <c r="E45" s="25"/>
      <c r="F45" s="25"/>
      <c r="G45" s="49">
        <v>0.30590000000000001</v>
      </c>
      <c r="H45" s="25"/>
      <c r="I45" s="25"/>
      <c r="J45" s="25"/>
      <c r="K45" s="25"/>
      <c r="L45" s="25"/>
      <c r="M45" s="25"/>
      <c r="N45" s="25"/>
      <c r="O45" s="25"/>
      <c r="P45" s="51">
        <v>0.14024190912062767</v>
      </c>
      <c r="Q45" s="55">
        <v>0.06</v>
      </c>
      <c r="R45" s="35">
        <v>3</v>
      </c>
    </row>
    <row r="46" spans="2:18" x14ac:dyDescent="0.2">
      <c r="B46" s="31"/>
      <c r="C46" s="22" t="s">
        <v>33</v>
      </c>
      <c r="D46" s="22"/>
      <c r="E46" s="22"/>
      <c r="F46" s="22"/>
      <c r="G46" s="48">
        <v>0.30590000000000001</v>
      </c>
      <c r="H46" s="22"/>
      <c r="I46" s="22"/>
      <c r="J46" s="22"/>
      <c r="K46" s="22"/>
      <c r="L46" s="22"/>
      <c r="M46" s="22"/>
      <c r="N46" s="22"/>
      <c r="O46" s="22"/>
      <c r="P46" s="50">
        <v>0.14024190912062767</v>
      </c>
      <c r="Q46" s="37">
        <v>0.08</v>
      </c>
      <c r="R46" s="34">
        <v>3</v>
      </c>
    </row>
    <row r="47" spans="2:18" x14ac:dyDescent="0.2">
      <c r="B47" s="31"/>
      <c r="C47" s="25" t="s">
        <v>34</v>
      </c>
      <c r="D47" s="25"/>
      <c r="E47" s="25"/>
      <c r="F47" s="25"/>
      <c r="G47" s="49">
        <v>0.30590000000000001</v>
      </c>
      <c r="H47" s="25"/>
      <c r="I47" s="25"/>
      <c r="J47" s="25"/>
      <c r="K47" s="25"/>
      <c r="L47" s="25"/>
      <c r="M47" s="25"/>
      <c r="N47" s="25"/>
      <c r="O47" s="25"/>
      <c r="P47" s="51">
        <v>0.14024190912062767</v>
      </c>
      <c r="Q47" s="55">
        <v>0.02</v>
      </c>
      <c r="R47" s="35">
        <v>3</v>
      </c>
    </row>
    <row r="48" spans="2:18" x14ac:dyDescent="0.2">
      <c r="B48" s="31"/>
      <c r="C48" s="22" t="s">
        <v>35</v>
      </c>
      <c r="D48" s="22"/>
      <c r="E48" s="22"/>
      <c r="F48" s="22"/>
      <c r="G48" s="48">
        <v>9.7849999999999993E-2</v>
      </c>
      <c r="H48" s="22"/>
      <c r="I48" s="22"/>
      <c r="J48" s="22"/>
      <c r="K48" s="22"/>
      <c r="L48" s="22"/>
      <c r="M48" s="22"/>
      <c r="N48" s="22"/>
      <c r="O48" s="22"/>
      <c r="P48" s="50">
        <v>0.56995401124169653</v>
      </c>
      <c r="Q48" s="37">
        <v>0</v>
      </c>
      <c r="R48" s="34">
        <v>3</v>
      </c>
    </row>
    <row r="49" spans="2:18" x14ac:dyDescent="0.2">
      <c r="B49" s="31"/>
      <c r="C49" s="25" t="s">
        <v>36</v>
      </c>
      <c r="D49" s="25"/>
      <c r="E49" s="25"/>
      <c r="F49" s="25"/>
      <c r="G49" s="49">
        <v>9.7849999999999993E-2</v>
      </c>
      <c r="H49" s="25"/>
      <c r="I49" s="25"/>
      <c r="J49" s="25"/>
      <c r="K49" s="25"/>
      <c r="L49" s="25"/>
      <c r="M49" s="25"/>
      <c r="N49" s="25"/>
      <c r="O49" s="25"/>
      <c r="P49" s="51">
        <v>0.56995401124169653</v>
      </c>
      <c r="Q49" s="55">
        <v>0</v>
      </c>
      <c r="R49" s="35">
        <v>3</v>
      </c>
    </row>
    <row r="50" spans="2:18" x14ac:dyDescent="0.2">
      <c r="B50" s="31"/>
      <c r="C50" s="22" t="s">
        <v>37</v>
      </c>
      <c r="D50" s="22"/>
      <c r="E50" s="22"/>
      <c r="F50" s="22"/>
      <c r="G50" s="48">
        <v>1.1875E-2</v>
      </c>
      <c r="H50" s="22"/>
      <c r="I50" s="22"/>
      <c r="J50" s="22"/>
      <c r="K50" s="22"/>
      <c r="L50" s="22"/>
      <c r="M50" s="22"/>
      <c r="N50" s="22"/>
      <c r="O50" s="22"/>
      <c r="P50" s="50">
        <v>4.6964210526315791</v>
      </c>
      <c r="Q50" s="37">
        <v>0</v>
      </c>
      <c r="R50" s="34">
        <v>3</v>
      </c>
    </row>
    <row r="51" spans="2:18" x14ac:dyDescent="0.2">
      <c r="B51" s="31"/>
      <c r="C51" s="25" t="s">
        <v>38</v>
      </c>
      <c r="D51" s="25"/>
      <c r="E51" s="25"/>
      <c r="F51" s="25"/>
      <c r="G51" s="49">
        <v>8.8349999999999998E-2</v>
      </c>
      <c r="H51" s="25"/>
      <c r="I51" s="25"/>
      <c r="J51" s="25"/>
      <c r="K51" s="25"/>
      <c r="L51" s="25"/>
      <c r="M51" s="25"/>
      <c r="N51" s="25"/>
      <c r="O51" s="25"/>
      <c r="P51" s="51">
        <v>0.63123938879456709</v>
      </c>
      <c r="Q51" s="55">
        <v>0</v>
      </c>
      <c r="R51" s="35">
        <v>3</v>
      </c>
    </row>
    <row r="52" spans="2:18" x14ac:dyDescent="0.2">
      <c r="B52" s="32"/>
      <c r="C52" s="26"/>
      <c r="D52" s="26" t="s">
        <v>43</v>
      </c>
      <c r="E52" s="26"/>
      <c r="F52" s="26"/>
      <c r="G52" s="26"/>
      <c r="H52" s="26">
        <v>2.3E-2</v>
      </c>
      <c r="I52" s="26"/>
      <c r="J52" s="26"/>
      <c r="K52" s="26"/>
      <c r="L52" s="26"/>
      <c r="M52" s="26"/>
      <c r="N52" s="26"/>
      <c r="O52" s="27"/>
      <c r="P52" s="26"/>
      <c r="Q52" s="26"/>
      <c r="R52" s="28"/>
    </row>
    <row r="54" spans="2:18" x14ac:dyDescent="0.2">
      <c r="E54" s="2" t="s">
        <v>0</v>
      </c>
      <c r="F54" s="5"/>
      <c r="G54" s="2"/>
      <c r="H54" s="2"/>
      <c r="J54" s="2"/>
      <c r="K54" s="3"/>
      <c r="L54" s="3"/>
      <c r="M54" s="1"/>
    </row>
    <row r="55" spans="2:18" x14ac:dyDescent="0.2">
      <c r="B55" s="23" t="s">
        <v>1</v>
      </c>
      <c r="C55" s="24" t="s">
        <v>3</v>
      </c>
      <c r="D55" s="24" t="s">
        <v>4</v>
      </c>
      <c r="E55" s="24" t="s">
        <v>20</v>
      </c>
      <c r="F55" s="40" t="s">
        <v>6</v>
      </c>
      <c r="G55" s="41" t="s">
        <v>40</v>
      </c>
      <c r="H55" s="41" t="s">
        <v>41</v>
      </c>
      <c r="I55" s="41" t="s">
        <v>14</v>
      </c>
      <c r="J55" s="41" t="s">
        <v>16</v>
      </c>
      <c r="K55" s="41" t="s">
        <v>5</v>
      </c>
      <c r="L55" s="41" t="s">
        <v>15</v>
      </c>
      <c r="M55" s="41" t="s">
        <v>18</v>
      </c>
      <c r="N55" s="41" t="s">
        <v>19</v>
      </c>
      <c r="O55" s="41" t="s">
        <v>21</v>
      </c>
      <c r="P55" s="41" t="s">
        <v>42</v>
      </c>
      <c r="Q55" s="41" t="s">
        <v>54</v>
      </c>
      <c r="R55" s="42" t="s">
        <v>44</v>
      </c>
    </row>
    <row r="56" spans="2:18" x14ac:dyDescent="0.2">
      <c r="B56" s="30" t="s">
        <v>23</v>
      </c>
      <c r="C56" s="22"/>
      <c r="D56" s="22"/>
      <c r="E56" s="22"/>
      <c r="F56" s="22">
        <v>2005</v>
      </c>
      <c r="G56" s="33"/>
      <c r="H56" s="33"/>
      <c r="I56" s="33">
        <v>1</v>
      </c>
      <c r="J56" s="52">
        <v>11.272831050228312</v>
      </c>
      <c r="K56" s="37">
        <v>0</v>
      </c>
      <c r="L56" s="52">
        <v>1.48125</v>
      </c>
      <c r="M56" s="33">
        <v>25</v>
      </c>
      <c r="N56" s="38"/>
      <c r="O56" s="33">
        <v>1</v>
      </c>
      <c r="P56" s="37"/>
      <c r="Q56" s="37"/>
      <c r="R56" s="29"/>
    </row>
    <row r="57" spans="2:18" x14ac:dyDescent="0.2">
      <c r="B57" s="31"/>
      <c r="C57" s="22" t="s">
        <v>27</v>
      </c>
      <c r="D57" s="22"/>
      <c r="E57" s="22"/>
      <c r="F57" s="22"/>
      <c r="G57" s="48">
        <v>0.22134999999999999</v>
      </c>
      <c r="H57" s="22"/>
      <c r="I57" s="22"/>
      <c r="J57" s="22"/>
      <c r="K57" s="22"/>
      <c r="L57" s="22"/>
      <c r="M57" s="22"/>
      <c r="N57" s="22"/>
      <c r="O57" s="22"/>
      <c r="P57" s="50">
        <v>0.20329794443189519</v>
      </c>
      <c r="Q57" s="37">
        <v>0</v>
      </c>
      <c r="R57" s="34">
        <v>3</v>
      </c>
    </row>
    <row r="58" spans="2:18" x14ac:dyDescent="0.2">
      <c r="B58" s="31"/>
      <c r="C58" s="36" t="s">
        <v>28</v>
      </c>
      <c r="D58" s="36"/>
      <c r="E58" s="36"/>
      <c r="F58" s="36"/>
      <c r="G58" s="54">
        <v>0.22134999999999999</v>
      </c>
      <c r="H58" s="36"/>
      <c r="I58" s="36"/>
      <c r="J58" s="36"/>
      <c r="K58" s="36"/>
      <c r="L58" s="36"/>
      <c r="M58" s="36"/>
      <c r="N58" s="36"/>
      <c r="O58" s="36"/>
      <c r="P58" s="53">
        <v>0.20329794443189519</v>
      </c>
      <c r="Q58" s="56">
        <v>0</v>
      </c>
      <c r="R58" s="39">
        <v>3</v>
      </c>
    </row>
    <row r="59" spans="2:18" x14ac:dyDescent="0.2">
      <c r="B59" s="31"/>
      <c r="C59" s="22" t="s">
        <v>29</v>
      </c>
      <c r="D59" s="22"/>
      <c r="E59" s="22"/>
      <c r="F59" s="22"/>
      <c r="G59" s="48">
        <v>0.19190000000000002</v>
      </c>
      <c r="H59" s="22"/>
      <c r="I59" s="22"/>
      <c r="J59" s="22"/>
      <c r="K59" s="22"/>
      <c r="L59" s="22"/>
      <c r="M59" s="22"/>
      <c r="N59" s="22"/>
      <c r="O59" s="22"/>
      <c r="P59" s="50">
        <v>0.23449713392391869</v>
      </c>
      <c r="Q59" s="37">
        <v>0</v>
      </c>
      <c r="R59" s="34">
        <v>3</v>
      </c>
    </row>
    <row r="60" spans="2:18" x14ac:dyDescent="0.2">
      <c r="B60" s="31"/>
      <c r="C60" s="36" t="s">
        <v>30</v>
      </c>
      <c r="D60" s="36"/>
      <c r="E60" s="36"/>
      <c r="F60" s="36"/>
      <c r="G60" s="54">
        <v>0.22134999999999999</v>
      </c>
      <c r="H60" s="36"/>
      <c r="I60" s="36"/>
      <c r="J60" s="36"/>
      <c r="K60" s="36"/>
      <c r="L60" s="36"/>
      <c r="M60" s="36"/>
      <c r="N60" s="36"/>
      <c r="O60" s="36"/>
      <c r="P60" s="53">
        <v>0.20329794443189519</v>
      </c>
      <c r="Q60" s="56">
        <v>0</v>
      </c>
      <c r="R60" s="39">
        <v>3</v>
      </c>
    </row>
    <row r="61" spans="2:18" x14ac:dyDescent="0.2">
      <c r="B61" s="31"/>
      <c r="C61" s="22" t="s">
        <v>31</v>
      </c>
      <c r="D61" s="22"/>
      <c r="E61" s="22"/>
      <c r="F61" s="22"/>
      <c r="G61" s="48">
        <v>0.22134999999999999</v>
      </c>
      <c r="H61" s="22"/>
      <c r="I61" s="22"/>
      <c r="J61" s="22"/>
      <c r="K61" s="22"/>
      <c r="L61" s="22"/>
      <c r="M61" s="22"/>
      <c r="N61" s="22"/>
      <c r="O61" s="22"/>
      <c r="P61" s="50">
        <v>0.20329794443189519</v>
      </c>
      <c r="Q61" s="37">
        <v>0</v>
      </c>
      <c r="R61" s="34">
        <v>3</v>
      </c>
    </row>
    <row r="62" spans="2:18" x14ac:dyDescent="0.2">
      <c r="B62" s="31"/>
      <c r="C62" s="36" t="s">
        <v>32</v>
      </c>
      <c r="D62" s="36"/>
      <c r="E62" s="36"/>
      <c r="F62" s="36"/>
      <c r="G62" s="54">
        <v>0.22134999999999999</v>
      </c>
      <c r="H62" s="36"/>
      <c r="I62" s="36"/>
      <c r="J62" s="36"/>
      <c r="K62" s="36"/>
      <c r="L62" s="36"/>
      <c r="M62" s="36"/>
      <c r="N62" s="36"/>
      <c r="O62" s="36"/>
      <c r="P62" s="53">
        <v>0.20329794443189519</v>
      </c>
      <c r="Q62" s="56">
        <v>0</v>
      </c>
      <c r="R62" s="39">
        <v>3</v>
      </c>
    </row>
    <row r="63" spans="2:18" x14ac:dyDescent="0.2">
      <c r="B63" s="31"/>
      <c r="C63" s="22" t="s">
        <v>33</v>
      </c>
      <c r="D63" s="22"/>
      <c r="E63" s="22"/>
      <c r="F63" s="22"/>
      <c r="G63" s="48">
        <v>0.22134999999999999</v>
      </c>
      <c r="H63" s="22"/>
      <c r="I63" s="22"/>
      <c r="J63" s="22"/>
      <c r="K63" s="22"/>
      <c r="L63" s="22"/>
      <c r="M63" s="22"/>
      <c r="N63" s="22"/>
      <c r="O63" s="22"/>
      <c r="P63" s="50">
        <v>0.20329794443189519</v>
      </c>
      <c r="Q63" s="37">
        <v>0</v>
      </c>
      <c r="R63" s="34">
        <v>3</v>
      </c>
    </row>
    <row r="64" spans="2:18" x14ac:dyDescent="0.2">
      <c r="B64" s="31"/>
      <c r="C64" s="36" t="s">
        <v>34</v>
      </c>
      <c r="D64" s="36"/>
      <c r="E64" s="36"/>
      <c r="F64" s="36"/>
      <c r="G64" s="54">
        <v>0.22134999999999999</v>
      </c>
      <c r="H64" s="36"/>
      <c r="I64" s="36"/>
      <c r="J64" s="36"/>
      <c r="K64" s="36"/>
      <c r="L64" s="36"/>
      <c r="M64" s="36"/>
      <c r="N64" s="36"/>
      <c r="O64" s="36"/>
      <c r="P64" s="53">
        <v>0.20329794443189519</v>
      </c>
      <c r="Q64" s="56">
        <v>0</v>
      </c>
      <c r="R64" s="39">
        <v>3</v>
      </c>
    </row>
    <row r="65" spans="2:18" x14ac:dyDescent="0.2">
      <c r="B65" s="31"/>
      <c r="C65" s="22" t="s">
        <v>35</v>
      </c>
      <c r="D65" s="22"/>
      <c r="E65" s="22"/>
      <c r="F65" s="22"/>
      <c r="G65" s="48">
        <v>5.5100000000000003E-2</v>
      </c>
      <c r="H65" s="22"/>
      <c r="I65" s="22"/>
      <c r="J65" s="22"/>
      <c r="K65" s="22"/>
      <c r="L65" s="22"/>
      <c r="M65" s="22"/>
      <c r="N65" s="22"/>
      <c r="O65" s="22"/>
      <c r="P65" s="50">
        <v>1.0617059891107077</v>
      </c>
      <c r="Q65" s="37">
        <v>0.4</v>
      </c>
      <c r="R65" s="34">
        <v>3</v>
      </c>
    </row>
    <row r="66" spans="2:18" x14ac:dyDescent="0.2">
      <c r="B66" s="31"/>
      <c r="C66" s="36" t="s">
        <v>36</v>
      </c>
      <c r="D66" s="36"/>
      <c r="E66" s="36"/>
      <c r="F66" s="36"/>
      <c r="G66" s="54">
        <v>5.5100000000000003E-2</v>
      </c>
      <c r="H66" s="36"/>
      <c r="I66" s="36"/>
      <c r="J66" s="36"/>
      <c r="K66" s="36"/>
      <c r="L66" s="36"/>
      <c r="M66" s="36"/>
      <c r="N66" s="36"/>
      <c r="O66" s="36"/>
      <c r="P66" s="53">
        <v>1.0617059891107077</v>
      </c>
      <c r="Q66" s="56">
        <v>0.12</v>
      </c>
      <c r="R66" s="39">
        <v>3</v>
      </c>
    </row>
    <row r="67" spans="2:18" x14ac:dyDescent="0.2">
      <c r="B67" s="31"/>
      <c r="C67" s="22" t="s">
        <v>37</v>
      </c>
      <c r="D67" s="22"/>
      <c r="E67" s="22"/>
      <c r="F67" s="22"/>
      <c r="G67" s="48">
        <v>7.6E-3</v>
      </c>
      <c r="H67" s="22"/>
      <c r="I67" s="22"/>
      <c r="J67" s="22"/>
      <c r="K67" s="22"/>
      <c r="L67" s="22"/>
      <c r="M67" s="22"/>
      <c r="N67" s="22"/>
      <c r="O67" s="22"/>
      <c r="P67" s="50">
        <v>7.6973684210526319</v>
      </c>
      <c r="Q67" s="37">
        <v>0.35</v>
      </c>
      <c r="R67" s="34">
        <v>3</v>
      </c>
    </row>
    <row r="68" spans="2:18" x14ac:dyDescent="0.2">
      <c r="B68" s="31"/>
      <c r="C68" s="36" t="s">
        <v>38</v>
      </c>
      <c r="D68" s="36"/>
      <c r="E68" s="36"/>
      <c r="F68" s="36"/>
      <c r="G68" s="54">
        <v>4.9399999999999993E-2</v>
      </c>
      <c r="H68" s="36"/>
      <c r="I68" s="36"/>
      <c r="J68" s="36"/>
      <c r="K68" s="36"/>
      <c r="L68" s="36"/>
      <c r="M68" s="36"/>
      <c r="N68" s="36"/>
      <c r="O68" s="36"/>
      <c r="P68" s="53">
        <v>1.1842105263157896</v>
      </c>
      <c r="Q68" s="56">
        <v>0.13</v>
      </c>
      <c r="R68" s="39">
        <v>3</v>
      </c>
    </row>
    <row r="69" spans="2:18" x14ac:dyDescent="0.2">
      <c r="B69" s="32"/>
      <c r="C69" s="26"/>
      <c r="D69" s="26" t="s">
        <v>39</v>
      </c>
      <c r="E69" s="26"/>
      <c r="F69" s="26"/>
      <c r="G69" s="27"/>
      <c r="H69" s="27">
        <v>3.95E-2</v>
      </c>
      <c r="I69" s="27"/>
      <c r="J69" s="26"/>
      <c r="K69" s="26"/>
      <c r="L69" s="26"/>
      <c r="M69" s="27"/>
      <c r="N69" s="26"/>
      <c r="O69" s="27"/>
      <c r="P69" s="26"/>
      <c r="Q69" s="26"/>
      <c r="R69" s="28"/>
    </row>
    <row r="71" spans="2:18" x14ac:dyDescent="0.2">
      <c r="E71" s="2" t="s">
        <v>0</v>
      </c>
      <c r="F71" s="5"/>
      <c r="G71" s="2"/>
      <c r="H71" s="2"/>
      <c r="J71" s="2"/>
      <c r="K71" s="3"/>
      <c r="L71" s="3"/>
      <c r="M71" s="1"/>
    </row>
    <row r="72" spans="2:18" x14ac:dyDescent="0.2">
      <c r="B72" s="23" t="s">
        <v>1</v>
      </c>
      <c r="C72" s="24" t="s">
        <v>3</v>
      </c>
      <c r="D72" s="24" t="s">
        <v>4</v>
      </c>
      <c r="E72" s="24" t="s">
        <v>20</v>
      </c>
      <c r="F72" s="40" t="s">
        <v>6</v>
      </c>
      <c r="G72" s="41" t="s">
        <v>40</v>
      </c>
      <c r="H72" s="41" t="s">
        <v>41</v>
      </c>
      <c r="I72" s="41" t="s">
        <v>14</v>
      </c>
      <c r="J72" s="41" t="s">
        <v>16</v>
      </c>
      <c r="K72" s="41" t="s">
        <v>5</v>
      </c>
      <c r="L72" s="41" t="s">
        <v>15</v>
      </c>
      <c r="M72" s="41" t="s">
        <v>18</v>
      </c>
      <c r="N72" s="41" t="s">
        <v>19</v>
      </c>
      <c r="O72" s="41" t="s">
        <v>21</v>
      </c>
      <c r="P72" s="41" t="s">
        <v>42</v>
      </c>
      <c r="Q72" s="41" t="s">
        <v>54</v>
      </c>
      <c r="R72" s="42" t="s">
        <v>44</v>
      </c>
    </row>
    <row r="73" spans="2:18" x14ac:dyDescent="0.2">
      <c r="B73" s="30" t="s">
        <v>23</v>
      </c>
      <c r="C73" s="22"/>
      <c r="D73" s="22"/>
      <c r="E73" s="22"/>
      <c r="F73" s="22">
        <v>2005</v>
      </c>
      <c r="G73" s="33"/>
      <c r="H73" s="33"/>
      <c r="I73" s="33">
        <v>1</v>
      </c>
      <c r="J73" s="52">
        <v>11.272831050228312</v>
      </c>
      <c r="K73" s="37">
        <v>0</v>
      </c>
      <c r="L73" s="52">
        <v>1.48125</v>
      </c>
      <c r="M73" s="33">
        <v>25</v>
      </c>
      <c r="N73" s="38"/>
      <c r="O73" s="33">
        <v>1</v>
      </c>
      <c r="P73" s="37"/>
      <c r="Q73" s="37"/>
      <c r="R73" s="29"/>
    </row>
    <row r="74" spans="2:18" x14ac:dyDescent="0.2">
      <c r="B74" s="31"/>
      <c r="C74" s="22" t="s">
        <v>27</v>
      </c>
      <c r="D74" s="22"/>
      <c r="E74" s="22"/>
      <c r="F74" s="22"/>
      <c r="G74" s="48">
        <v>0.22134999999999999</v>
      </c>
      <c r="H74" s="22"/>
      <c r="I74" s="22"/>
      <c r="J74" s="22"/>
      <c r="K74" s="22"/>
      <c r="L74" s="22"/>
      <c r="M74" s="22"/>
      <c r="N74" s="22"/>
      <c r="O74" s="22"/>
      <c r="P74" s="50">
        <v>0.20329794443189519</v>
      </c>
      <c r="Q74" s="22">
        <v>0.05</v>
      </c>
      <c r="R74" s="34">
        <v>3</v>
      </c>
    </row>
    <row r="75" spans="2:18" x14ac:dyDescent="0.2">
      <c r="B75" s="31"/>
      <c r="C75" s="36" t="s">
        <v>28</v>
      </c>
      <c r="D75" s="36"/>
      <c r="E75" s="36"/>
      <c r="F75" s="36"/>
      <c r="G75" s="54">
        <v>0.22134999999999999</v>
      </c>
      <c r="H75" s="36"/>
      <c r="I75" s="36"/>
      <c r="J75" s="36"/>
      <c r="K75" s="36"/>
      <c r="L75" s="36"/>
      <c r="M75" s="36"/>
      <c r="N75" s="36"/>
      <c r="O75" s="36"/>
      <c r="P75" s="53">
        <v>0.20329794443189519</v>
      </c>
      <c r="Q75" s="36">
        <v>0.03</v>
      </c>
      <c r="R75" s="39">
        <v>3</v>
      </c>
    </row>
    <row r="76" spans="2:18" x14ac:dyDescent="0.2">
      <c r="B76" s="31"/>
      <c r="C76" s="22" t="s">
        <v>29</v>
      </c>
      <c r="D76" s="22"/>
      <c r="E76" s="22"/>
      <c r="F76" s="22"/>
      <c r="G76" s="48">
        <v>0.19190000000000002</v>
      </c>
      <c r="H76" s="22"/>
      <c r="I76" s="22"/>
      <c r="J76" s="22"/>
      <c r="K76" s="22"/>
      <c r="L76" s="22"/>
      <c r="M76" s="22"/>
      <c r="N76" s="22"/>
      <c r="O76" s="22"/>
      <c r="P76" s="50">
        <v>0.23449713392391869</v>
      </c>
      <c r="Q76" s="22">
        <v>0.28000000000000003</v>
      </c>
      <c r="R76" s="34">
        <v>3</v>
      </c>
    </row>
    <row r="77" spans="2:18" x14ac:dyDescent="0.2">
      <c r="B77" s="31"/>
      <c r="C77" s="36" t="s">
        <v>30</v>
      </c>
      <c r="D77" s="36"/>
      <c r="E77" s="36"/>
      <c r="F77" s="36"/>
      <c r="G77" s="54">
        <v>0.22134999999999999</v>
      </c>
      <c r="H77" s="36"/>
      <c r="I77" s="36"/>
      <c r="J77" s="36"/>
      <c r="K77" s="36"/>
      <c r="L77" s="36"/>
      <c r="M77" s="36"/>
      <c r="N77" s="36"/>
      <c r="O77" s="36"/>
      <c r="P77" s="53">
        <v>0.20329794443189519</v>
      </c>
      <c r="Q77" s="36">
        <v>0.03</v>
      </c>
      <c r="R77" s="39">
        <v>3</v>
      </c>
    </row>
    <row r="78" spans="2:18" x14ac:dyDescent="0.2">
      <c r="B78" s="31"/>
      <c r="C78" s="22" t="s">
        <v>31</v>
      </c>
      <c r="D78" s="22"/>
      <c r="E78" s="22"/>
      <c r="F78" s="22"/>
      <c r="G78" s="48">
        <v>0.22134999999999999</v>
      </c>
      <c r="H78" s="22"/>
      <c r="I78" s="22"/>
      <c r="J78" s="22"/>
      <c r="K78" s="22"/>
      <c r="L78" s="22"/>
      <c r="M78" s="22"/>
      <c r="N78" s="22"/>
      <c r="O78" s="22"/>
      <c r="P78" s="50">
        <v>0.20329794443189519</v>
      </c>
      <c r="Q78" s="22">
        <v>0.02</v>
      </c>
      <c r="R78" s="34">
        <v>3</v>
      </c>
    </row>
    <row r="79" spans="2:18" x14ac:dyDescent="0.2">
      <c r="B79" s="31"/>
      <c r="C79" s="36" t="s">
        <v>32</v>
      </c>
      <c r="D79" s="36"/>
      <c r="E79" s="36"/>
      <c r="F79" s="36"/>
      <c r="G79" s="54">
        <v>0.22134999999999999</v>
      </c>
      <c r="H79" s="36"/>
      <c r="I79" s="36"/>
      <c r="J79" s="36"/>
      <c r="K79" s="36"/>
      <c r="L79" s="36"/>
      <c r="M79" s="36"/>
      <c r="N79" s="36"/>
      <c r="O79" s="36"/>
      <c r="P79" s="53">
        <v>0.20329794443189519</v>
      </c>
      <c r="Q79" s="36">
        <v>0.01</v>
      </c>
      <c r="R79" s="39">
        <v>3</v>
      </c>
    </row>
    <row r="80" spans="2:18" x14ac:dyDescent="0.2">
      <c r="B80" s="31"/>
      <c r="C80" s="22" t="s">
        <v>33</v>
      </c>
      <c r="D80" s="22"/>
      <c r="E80" s="22"/>
      <c r="F80" s="22"/>
      <c r="G80" s="48">
        <v>0.22134999999999999</v>
      </c>
      <c r="H80" s="22"/>
      <c r="I80" s="22"/>
      <c r="J80" s="22"/>
      <c r="K80" s="22"/>
      <c r="L80" s="22"/>
      <c r="M80" s="22"/>
      <c r="N80" s="22"/>
      <c r="O80" s="22"/>
      <c r="P80" s="50">
        <v>0.20329794443189519</v>
      </c>
      <c r="Q80" s="22">
        <v>0.01</v>
      </c>
      <c r="R80" s="34">
        <v>3</v>
      </c>
    </row>
    <row r="81" spans="2:18" x14ac:dyDescent="0.2">
      <c r="B81" s="31"/>
      <c r="C81" s="36" t="s">
        <v>34</v>
      </c>
      <c r="D81" s="36"/>
      <c r="E81" s="36"/>
      <c r="F81" s="36"/>
      <c r="G81" s="54">
        <v>0.22134999999999999</v>
      </c>
      <c r="H81" s="36"/>
      <c r="I81" s="36"/>
      <c r="J81" s="36"/>
      <c r="K81" s="36"/>
      <c r="L81" s="36"/>
      <c r="M81" s="36"/>
      <c r="N81" s="36"/>
      <c r="O81" s="36"/>
      <c r="P81" s="53">
        <v>0.20329794443189519</v>
      </c>
      <c r="Q81" s="56">
        <v>0</v>
      </c>
      <c r="R81" s="39">
        <v>3</v>
      </c>
    </row>
    <row r="82" spans="2:18" x14ac:dyDescent="0.2">
      <c r="B82" s="31"/>
      <c r="C82" s="22" t="s">
        <v>35</v>
      </c>
      <c r="D82" s="22"/>
      <c r="E82" s="22"/>
      <c r="F82" s="22"/>
      <c r="G82" s="48">
        <v>5.5100000000000003E-2</v>
      </c>
      <c r="H82" s="22"/>
      <c r="I82" s="22"/>
      <c r="J82" s="22"/>
      <c r="K82" s="22"/>
      <c r="L82" s="22"/>
      <c r="M82" s="22"/>
      <c r="N82" s="22"/>
      <c r="O82" s="22"/>
      <c r="P82" s="50">
        <v>1.0617059891107077</v>
      </c>
      <c r="Q82" s="22">
        <v>0.24</v>
      </c>
      <c r="R82" s="34">
        <v>3</v>
      </c>
    </row>
    <row r="83" spans="2:18" x14ac:dyDescent="0.2">
      <c r="B83" s="31"/>
      <c r="C83" s="36" t="s">
        <v>36</v>
      </c>
      <c r="D83" s="36"/>
      <c r="E83" s="36"/>
      <c r="F83" s="36"/>
      <c r="G83" s="54">
        <v>5.5100000000000003E-2</v>
      </c>
      <c r="H83" s="36"/>
      <c r="I83" s="36"/>
      <c r="J83" s="36"/>
      <c r="K83" s="36"/>
      <c r="L83" s="36"/>
      <c r="M83" s="36"/>
      <c r="N83" s="36"/>
      <c r="O83" s="36"/>
      <c r="P83" s="53">
        <v>1.0617059891107077</v>
      </c>
      <c r="Q83" s="36">
        <v>7.0000000000000007E-2</v>
      </c>
      <c r="R83" s="39">
        <v>3</v>
      </c>
    </row>
    <row r="84" spans="2:18" x14ac:dyDescent="0.2">
      <c r="B84" s="31"/>
      <c r="C84" s="22" t="s">
        <v>37</v>
      </c>
      <c r="D84" s="22"/>
      <c r="E84" s="22"/>
      <c r="F84" s="22"/>
      <c r="G84" s="48">
        <v>7.6E-3</v>
      </c>
      <c r="H84" s="22"/>
      <c r="I84" s="22"/>
      <c r="J84" s="22"/>
      <c r="K84" s="22"/>
      <c r="L84" s="22"/>
      <c r="M84" s="22"/>
      <c r="N84" s="22"/>
      <c r="O84" s="22"/>
      <c r="P84" s="50">
        <v>7.6973684210526319</v>
      </c>
      <c r="Q84" s="22">
        <v>0.18</v>
      </c>
      <c r="R84" s="34">
        <v>3</v>
      </c>
    </row>
    <row r="85" spans="2:18" x14ac:dyDescent="0.2">
      <c r="B85" s="31"/>
      <c r="C85" s="36" t="s">
        <v>38</v>
      </c>
      <c r="D85" s="36"/>
      <c r="E85" s="36"/>
      <c r="F85" s="36"/>
      <c r="G85" s="54">
        <v>4.9399999999999993E-2</v>
      </c>
      <c r="H85" s="36"/>
      <c r="I85" s="36"/>
      <c r="J85" s="36"/>
      <c r="K85" s="36"/>
      <c r="L85" s="36"/>
      <c r="M85" s="36"/>
      <c r="N85" s="36"/>
      <c r="O85" s="36"/>
      <c r="P85" s="53">
        <v>1.1842105263157896</v>
      </c>
      <c r="Q85" s="36">
        <v>0.08</v>
      </c>
      <c r="R85" s="39">
        <v>3</v>
      </c>
    </row>
    <row r="86" spans="2:18" x14ac:dyDescent="0.2">
      <c r="B86" s="32"/>
      <c r="C86" s="26"/>
      <c r="D86" s="26" t="s">
        <v>39</v>
      </c>
      <c r="E86" s="26"/>
      <c r="F86" s="26"/>
      <c r="G86" s="27"/>
      <c r="H86" s="27">
        <v>3.95E-2</v>
      </c>
      <c r="I86" s="27"/>
      <c r="J86" s="26"/>
      <c r="K86" s="26"/>
      <c r="L86" s="26"/>
      <c r="M86" s="27"/>
      <c r="N86" s="26"/>
      <c r="O86" s="27"/>
      <c r="P86" s="26"/>
      <c r="Q86" s="26"/>
      <c r="R86" s="28"/>
    </row>
    <row r="88" spans="2:18" x14ac:dyDescent="0.2">
      <c r="E88" s="2" t="s">
        <v>0</v>
      </c>
      <c r="F88" s="5"/>
      <c r="G88" s="2"/>
      <c r="H88" s="2"/>
      <c r="J88" s="2"/>
      <c r="K88" s="3"/>
      <c r="L88" s="3"/>
      <c r="M88" s="1"/>
    </row>
    <row r="89" spans="2:18" x14ac:dyDescent="0.2">
      <c r="B89" s="23" t="s">
        <v>1</v>
      </c>
      <c r="C89" s="24" t="s">
        <v>3</v>
      </c>
      <c r="D89" s="24" t="s">
        <v>4</v>
      </c>
      <c r="E89" s="24" t="s">
        <v>20</v>
      </c>
      <c r="F89" s="40" t="s">
        <v>6</v>
      </c>
      <c r="G89" s="41" t="s">
        <v>40</v>
      </c>
      <c r="H89" s="41" t="s">
        <v>41</v>
      </c>
      <c r="I89" s="41" t="s">
        <v>14</v>
      </c>
      <c r="J89" s="41" t="s">
        <v>16</v>
      </c>
      <c r="K89" s="41" t="s">
        <v>5</v>
      </c>
      <c r="L89" s="41" t="s">
        <v>15</v>
      </c>
      <c r="M89" s="41" t="s">
        <v>18</v>
      </c>
      <c r="N89" s="41" t="s">
        <v>19</v>
      </c>
      <c r="O89" s="41" t="s">
        <v>21</v>
      </c>
      <c r="P89" s="41" t="s">
        <v>42</v>
      </c>
      <c r="Q89" s="41" t="s">
        <v>54</v>
      </c>
      <c r="R89" s="42" t="s">
        <v>44</v>
      </c>
    </row>
    <row r="90" spans="2:18" x14ac:dyDescent="0.2">
      <c r="B90" s="30" t="s">
        <v>23</v>
      </c>
      <c r="C90" s="22"/>
      <c r="D90" s="22"/>
      <c r="E90" s="22"/>
      <c r="F90" s="22">
        <v>2005</v>
      </c>
      <c r="G90" s="33"/>
      <c r="H90" s="33"/>
      <c r="I90" s="33">
        <v>1</v>
      </c>
      <c r="J90" s="52">
        <v>11.272831050228312</v>
      </c>
      <c r="K90" s="37">
        <v>0</v>
      </c>
      <c r="L90" s="52">
        <v>1.48125</v>
      </c>
      <c r="M90" s="33">
        <v>25</v>
      </c>
      <c r="N90" s="38"/>
      <c r="O90" s="33">
        <v>1</v>
      </c>
      <c r="P90" s="37"/>
      <c r="Q90" s="37"/>
      <c r="R90" s="29"/>
    </row>
    <row r="91" spans="2:18" x14ac:dyDescent="0.2">
      <c r="B91" s="31"/>
      <c r="C91" s="22" t="s">
        <v>27</v>
      </c>
      <c r="D91" s="22"/>
      <c r="E91" s="22"/>
      <c r="F91" s="22"/>
      <c r="G91" s="48">
        <v>0.22134999999999999</v>
      </c>
      <c r="H91" s="22"/>
      <c r="I91" s="22"/>
      <c r="J91" s="22"/>
      <c r="K91" s="22"/>
      <c r="L91" s="22"/>
      <c r="M91" s="22"/>
      <c r="N91" s="22"/>
      <c r="O91" s="22"/>
      <c r="P91" s="50">
        <v>0.20329794443189519</v>
      </c>
      <c r="Q91" s="37">
        <v>0.32</v>
      </c>
      <c r="R91" s="34">
        <v>3</v>
      </c>
    </row>
    <row r="92" spans="2:18" x14ac:dyDescent="0.2">
      <c r="B92" s="31"/>
      <c r="C92" s="36" t="s">
        <v>28</v>
      </c>
      <c r="D92" s="36"/>
      <c r="E92" s="36"/>
      <c r="F92" s="36"/>
      <c r="G92" s="54">
        <v>0.22134999999999999</v>
      </c>
      <c r="H92" s="36"/>
      <c r="I92" s="36"/>
      <c r="J92" s="36"/>
      <c r="K92" s="36"/>
      <c r="L92" s="36"/>
      <c r="M92" s="36"/>
      <c r="N92" s="36"/>
      <c r="O92" s="36"/>
      <c r="P92" s="53">
        <v>0.20329794443189519</v>
      </c>
      <c r="Q92" s="56">
        <v>0.2</v>
      </c>
      <c r="R92" s="39">
        <v>3</v>
      </c>
    </row>
    <row r="93" spans="2:18" x14ac:dyDescent="0.2">
      <c r="B93" s="31"/>
      <c r="C93" s="22" t="s">
        <v>29</v>
      </c>
      <c r="D93" s="22"/>
      <c r="E93" s="22"/>
      <c r="F93" s="22"/>
      <c r="G93" s="48">
        <v>0.19190000000000002</v>
      </c>
      <c r="H93" s="22"/>
      <c r="I93" s="22"/>
      <c r="J93" s="22"/>
      <c r="K93" s="22"/>
      <c r="L93" s="22"/>
      <c r="M93" s="22"/>
      <c r="N93" s="22"/>
      <c r="O93" s="22"/>
      <c r="P93" s="50">
        <v>0.23449713392391869</v>
      </c>
      <c r="Q93" s="37">
        <v>0.06</v>
      </c>
      <c r="R93" s="34">
        <v>3</v>
      </c>
    </row>
    <row r="94" spans="2:18" x14ac:dyDescent="0.2">
      <c r="B94" s="31"/>
      <c r="C94" s="36" t="s">
        <v>30</v>
      </c>
      <c r="D94" s="36"/>
      <c r="E94" s="36"/>
      <c r="F94" s="36"/>
      <c r="G94" s="54">
        <v>0.22134999999999999</v>
      </c>
      <c r="H94" s="36"/>
      <c r="I94" s="36"/>
      <c r="J94" s="36"/>
      <c r="K94" s="36"/>
      <c r="L94" s="36"/>
      <c r="M94" s="36"/>
      <c r="N94" s="36"/>
      <c r="O94" s="36"/>
      <c r="P94" s="53">
        <v>0.20329794443189519</v>
      </c>
      <c r="Q94" s="56">
        <v>0.14000000000000001</v>
      </c>
      <c r="R94" s="39">
        <v>3</v>
      </c>
    </row>
    <row r="95" spans="2:18" x14ac:dyDescent="0.2">
      <c r="B95" s="31"/>
      <c r="C95" s="22" t="s">
        <v>31</v>
      </c>
      <c r="D95" s="22"/>
      <c r="E95" s="22"/>
      <c r="F95" s="22"/>
      <c r="G95" s="48">
        <v>0.22134999999999999</v>
      </c>
      <c r="H95" s="22"/>
      <c r="I95" s="22"/>
      <c r="J95" s="22"/>
      <c r="K95" s="22"/>
      <c r="L95" s="22"/>
      <c r="M95" s="22"/>
      <c r="N95" s="22"/>
      <c r="O95" s="22"/>
      <c r="P95" s="50">
        <v>0.20329794443189519</v>
      </c>
      <c r="Q95" s="37">
        <v>0.11</v>
      </c>
      <c r="R95" s="34">
        <v>3</v>
      </c>
    </row>
    <row r="96" spans="2:18" x14ac:dyDescent="0.2">
      <c r="B96" s="31"/>
      <c r="C96" s="36" t="s">
        <v>32</v>
      </c>
      <c r="D96" s="36"/>
      <c r="E96" s="36"/>
      <c r="F96" s="36"/>
      <c r="G96" s="54">
        <v>0.22134999999999999</v>
      </c>
      <c r="H96" s="36"/>
      <c r="I96" s="36"/>
      <c r="J96" s="36"/>
      <c r="K96" s="36"/>
      <c r="L96" s="36"/>
      <c r="M96" s="36"/>
      <c r="N96" s="36"/>
      <c r="O96" s="36"/>
      <c r="P96" s="53">
        <v>0.20329794443189519</v>
      </c>
      <c r="Q96" s="56">
        <v>0.06</v>
      </c>
      <c r="R96" s="39">
        <v>3</v>
      </c>
    </row>
    <row r="97" spans="2:18" x14ac:dyDescent="0.2">
      <c r="B97" s="31"/>
      <c r="C97" s="22" t="s">
        <v>33</v>
      </c>
      <c r="D97" s="22"/>
      <c r="E97" s="22"/>
      <c r="F97" s="22"/>
      <c r="G97" s="48">
        <v>0.22134999999999999</v>
      </c>
      <c r="H97" s="22"/>
      <c r="I97" s="22"/>
      <c r="J97" s="22"/>
      <c r="K97" s="22"/>
      <c r="L97" s="22"/>
      <c r="M97" s="22"/>
      <c r="N97" s="22"/>
      <c r="O97" s="22"/>
      <c r="P97" s="50">
        <v>0.20329794443189519</v>
      </c>
      <c r="Q97" s="37">
        <v>0.08</v>
      </c>
      <c r="R97" s="34">
        <v>3</v>
      </c>
    </row>
    <row r="98" spans="2:18" x14ac:dyDescent="0.2">
      <c r="B98" s="31"/>
      <c r="C98" s="36" t="s">
        <v>34</v>
      </c>
      <c r="D98" s="36"/>
      <c r="E98" s="36"/>
      <c r="F98" s="36"/>
      <c r="G98" s="54">
        <v>0.22134999999999999</v>
      </c>
      <c r="H98" s="36"/>
      <c r="I98" s="36"/>
      <c r="J98" s="36"/>
      <c r="K98" s="36"/>
      <c r="L98" s="36"/>
      <c r="M98" s="36"/>
      <c r="N98" s="36"/>
      <c r="O98" s="36"/>
      <c r="P98" s="53">
        <v>0.20329794443189519</v>
      </c>
      <c r="Q98" s="56">
        <v>0.03</v>
      </c>
      <c r="R98" s="39">
        <v>3</v>
      </c>
    </row>
    <row r="99" spans="2:18" x14ac:dyDescent="0.2">
      <c r="B99" s="31"/>
      <c r="C99" s="22" t="s">
        <v>35</v>
      </c>
      <c r="D99" s="22"/>
      <c r="E99" s="22"/>
      <c r="F99" s="22"/>
      <c r="G99" s="48">
        <v>5.5100000000000003E-2</v>
      </c>
      <c r="H99" s="22"/>
      <c r="I99" s="22"/>
      <c r="J99" s="22"/>
      <c r="K99" s="22"/>
      <c r="L99" s="22"/>
      <c r="M99" s="22"/>
      <c r="N99" s="22"/>
      <c r="O99" s="22"/>
      <c r="P99" s="50">
        <v>1.0617059891107077</v>
      </c>
      <c r="Q99" s="37">
        <v>0</v>
      </c>
      <c r="R99" s="34">
        <v>3</v>
      </c>
    </row>
    <row r="100" spans="2:18" x14ac:dyDescent="0.2">
      <c r="B100" s="31"/>
      <c r="C100" s="36" t="s">
        <v>36</v>
      </c>
      <c r="D100" s="36"/>
      <c r="E100" s="36"/>
      <c r="F100" s="36"/>
      <c r="G100" s="54">
        <v>5.5100000000000003E-2</v>
      </c>
      <c r="H100" s="36"/>
      <c r="I100" s="36"/>
      <c r="J100" s="36"/>
      <c r="K100" s="36"/>
      <c r="L100" s="36"/>
      <c r="M100" s="36"/>
      <c r="N100" s="36"/>
      <c r="O100" s="36"/>
      <c r="P100" s="53">
        <v>1.0617059891107077</v>
      </c>
      <c r="Q100" s="56">
        <v>0</v>
      </c>
      <c r="R100" s="39">
        <v>3</v>
      </c>
    </row>
    <row r="101" spans="2:18" x14ac:dyDescent="0.2">
      <c r="B101" s="31"/>
      <c r="C101" s="22" t="s">
        <v>37</v>
      </c>
      <c r="D101" s="22"/>
      <c r="E101" s="22"/>
      <c r="F101" s="22"/>
      <c r="G101" s="48">
        <v>7.6E-3</v>
      </c>
      <c r="H101" s="22"/>
      <c r="I101" s="22"/>
      <c r="J101" s="22"/>
      <c r="K101" s="22"/>
      <c r="L101" s="22"/>
      <c r="M101" s="22"/>
      <c r="N101" s="22"/>
      <c r="O101" s="22"/>
      <c r="P101" s="50">
        <v>7.6973684210526319</v>
      </c>
      <c r="Q101" s="37">
        <v>0</v>
      </c>
      <c r="R101" s="34">
        <v>3</v>
      </c>
    </row>
    <row r="102" spans="2:18" x14ac:dyDescent="0.2">
      <c r="B102" s="31"/>
      <c r="C102" s="36" t="s">
        <v>38</v>
      </c>
      <c r="D102" s="36"/>
      <c r="E102" s="36"/>
      <c r="F102" s="36"/>
      <c r="G102" s="54">
        <v>4.9399999999999993E-2</v>
      </c>
      <c r="H102" s="36"/>
      <c r="I102" s="36"/>
      <c r="J102" s="36"/>
      <c r="K102" s="36"/>
      <c r="L102" s="36"/>
      <c r="M102" s="36"/>
      <c r="N102" s="36"/>
      <c r="O102" s="36"/>
      <c r="P102" s="53">
        <v>1.1842105263157896</v>
      </c>
      <c r="Q102" s="56">
        <v>0</v>
      </c>
      <c r="R102" s="39">
        <v>3</v>
      </c>
    </row>
    <row r="103" spans="2:18" x14ac:dyDescent="0.2">
      <c r="B103" s="32"/>
      <c r="C103" s="26"/>
      <c r="D103" s="26" t="s">
        <v>39</v>
      </c>
      <c r="E103" s="26"/>
      <c r="F103" s="26"/>
      <c r="G103" s="27"/>
      <c r="H103" s="27">
        <v>3.95E-2</v>
      </c>
      <c r="I103" s="27"/>
      <c r="J103" s="26"/>
      <c r="K103" s="26"/>
      <c r="L103" s="26"/>
      <c r="M103" s="27"/>
      <c r="N103" s="26"/>
      <c r="O103" s="27"/>
      <c r="P103" s="26"/>
      <c r="Q103" s="26"/>
      <c r="R103" s="28"/>
    </row>
    <row r="109" spans="2:18" x14ac:dyDescent="0.2">
      <c r="C109" s="22"/>
      <c r="D109" s="22"/>
    </row>
    <row r="110" spans="2:18" x14ac:dyDescent="0.2">
      <c r="C110" s="25"/>
      <c r="D110" s="25"/>
    </row>
    <row r="112" spans="2:18" x14ac:dyDescent="0.2">
      <c r="C112" s="22"/>
      <c r="D112" s="22"/>
    </row>
    <row r="113" spans="3:4" x14ac:dyDescent="0.2">
      <c r="C113" s="36"/>
      <c r="D113" s="36"/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0652-D9FA-48C9-8CFF-A502382E57F0}">
  <dimension ref="A1:K32"/>
  <sheetViews>
    <sheetView workbookViewId="0">
      <selection activeCell="E50" sqref="E50"/>
    </sheetView>
  </sheetViews>
  <sheetFormatPr defaultRowHeight="12.75" x14ac:dyDescent="0.2"/>
  <sheetData>
    <row r="1" spans="1:11" x14ac:dyDescent="0.2">
      <c r="A1" s="16" t="s">
        <v>23</v>
      </c>
      <c r="B1" s="4"/>
      <c r="C1" s="4"/>
      <c r="D1" s="4"/>
      <c r="E1" s="4">
        <v>2005</v>
      </c>
      <c r="F1" s="17" t="s">
        <v>45</v>
      </c>
      <c r="G1" s="17"/>
      <c r="I1" t="s">
        <v>46</v>
      </c>
      <c r="K1" t="s">
        <v>47</v>
      </c>
    </row>
    <row r="2" spans="1:11" x14ac:dyDescent="0.2">
      <c r="A2" s="13"/>
      <c r="B2" s="4" t="s">
        <v>27</v>
      </c>
      <c r="C2" s="4"/>
      <c r="D2" s="4"/>
      <c r="E2" s="4"/>
      <c r="F2" s="17">
        <v>0.22134999999999999</v>
      </c>
      <c r="G2" s="17"/>
      <c r="I2">
        <v>13.5857100764058</v>
      </c>
      <c r="K2">
        <f>I2*F2</f>
        <v>3.0071969254124236</v>
      </c>
    </row>
    <row r="3" spans="1:11" x14ac:dyDescent="0.2">
      <c r="A3" s="13"/>
      <c r="B3" s="4" t="s">
        <v>28</v>
      </c>
      <c r="C3" s="4"/>
      <c r="D3" s="4"/>
      <c r="E3" s="4"/>
      <c r="F3" s="17">
        <v>0.22134999999999999</v>
      </c>
      <c r="G3" s="17"/>
      <c r="I3">
        <v>2.89237426343223</v>
      </c>
      <c r="K3">
        <f t="shared" ref="K3:K13" si="0">I3*F3</f>
        <v>0.6402270432107241</v>
      </c>
    </row>
    <row r="4" spans="1:11" x14ac:dyDescent="0.2">
      <c r="A4" s="13"/>
      <c r="B4" s="4" t="s">
        <v>29</v>
      </c>
      <c r="C4" s="4"/>
      <c r="D4" s="4"/>
      <c r="E4" s="4"/>
      <c r="F4" s="17">
        <v>0.19190000000000002</v>
      </c>
      <c r="G4" s="17"/>
      <c r="I4">
        <v>7.3152131376623704</v>
      </c>
      <c r="K4">
        <f t="shared" si="0"/>
        <v>1.403789401117409</v>
      </c>
    </row>
    <row r="5" spans="1:11" x14ac:dyDescent="0.2">
      <c r="A5" s="13"/>
      <c r="B5" s="4" t="s">
        <v>30</v>
      </c>
      <c r="C5" s="4"/>
      <c r="D5" s="4"/>
      <c r="E5" s="4"/>
      <c r="F5" s="17">
        <v>0.22134999999999999</v>
      </c>
      <c r="G5" s="17"/>
      <c r="I5">
        <v>2.2555391892594501</v>
      </c>
      <c r="K5">
        <f t="shared" si="0"/>
        <v>0.49926359954257926</v>
      </c>
    </row>
    <row r="6" spans="1:11" x14ac:dyDescent="0.2">
      <c r="A6" s="13"/>
      <c r="B6" s="4" t="s">
        <v>31</v>
      </c>
      <c r="C6" s="4"/>
      <c r="D6" s="4"/>
      <c r="E6" s="4"/>
      <c r="F6" s="17">
        <v>0.22134999999999999</v>
      </c>
      <c r="G6" s="17"/>
      <c r="I6">
        <v>8.2111451823425803</v>
      </c>
      <c r="K6">
        <f t="shared" si="0"/>
        <v>1.81753698611153</v>
      </c>
    </row>
    <row r="7" spans="1:11" x14ac:dyDescent="0.2">
      <c r="A7" s="13"/>
      <c r="B7" s="4" t="s">
        <v>32</v>
      </c>
      <c r="C7" s="4"/>
      <c r="D7" s="4"/>
      <c r="E7" s="4"/>
      <c r="F7" s="17">
        <v>0.22134999999999999</v>
      </c>
      <c r="G7" s="17"/>
      <c r="I7">
        <v>2.1974895612344598</v>
      </c>
      <c r="K7">
        <f t="shared" si="0"/>
        <v>0.48641431437924765</v>
      </c>
    </row>
    <row r="8" spans="1:11" x14ac:dyDescent="0.2">
      <c r="A8" s="13"/>
      <c r="B8" s="4" t="s">
        <v>33</v>
      </c>
      <c r="C8" s="4"/>
      <c r="D8" s="4"/>
      <c r="E8" s="4"/>
      <c r="F8" s="17">
        <v>0.22134999999999999</v>
      </c>
      <c r="G8" s="17"/>
      <c r="I8">
        <v>19.949081500686201</v>
      </c>
      <c r="K8">
        <f t="shared" si="0"/>
        <v>4.4157291901768909</v>
      </c>
    </row>
    <row r="9" spans="1:11" x14ac:dyDescent="0.2">
      <c r="A9" s="13"/>
      <c r="B9" s="4" t="s">
        <v>34</v>
      </c>
      <c r="C9" s="4"/>
      <c r="D9" s="4"/>
      <c r="E9" s="4"/>
      <c r="F9" s="17">
        <v>0.22134999999999999</v>
      </c>
      <c r="G9" s="17"/>
      <c r="I9">
        <v>0.282089239055968</v>
      </c>
      <c r="K9">
        <f t="shared" si="0"/>
        <v>6.2440453065038516E-2</v>
      </c>
    </row>
    <row r="10" spans="1:11" x14ac:dyDescent="0.2">
      <c r="A10" s="13"/>
      <c r="B10" s="4" t="s">
        <v>35</v>
      </c>
      <c r="C10" s="4"/>
      <c r="D10" s="4"/>
      <c r="E10" s="4"/>
      <c r="F10" s="17">
        <v>5.5100000000000003E-2</v>
      </c>
      <c r="G10" s="17"/>
      <c r="I10">
        <v>129.38940102856401</v>
      </c>
      <c r="K10">
        <f t="shared" si="0"/>
        <v>7.1293559966738771</v>
      </c>
    </row>
    <row r="11" spans="1:11" x14ac:dyDescent="0.2">
      <c r="A11" s="13"/>
      <c r="B11" s="4" t="s">
        <v>36</v>
      </c>
      <c r="C11" s="4"/>
      <c r="D11" s="4"/>
      <c r="E11" s="4"/>
      <c r="F11" s="17">
        <v>5.5100000000000003E-2</v>
      </c>
      <c r="G11" s="17"/>
      <c r="I11">
        <v>83.122875590571695</v>
      </c>
      <c r="K11">
        <f t="shared" si="0"/>
        <v>4.5800704450405005</v>
      </c>
    </row>
    <row r="12" spans="1:11" x14ac:dyDescent="0.2">
      <c r="A12" s="13"/>
      <c r="B12" s="4" t="s">
        <v>37</v>
      </c>
      <c r="C12" s="4"/>
      <c r="D12" s="4"/>
      <c r="E12" s="4"/>
      <c r="F12" s="17">
        <v>7.6E-3</v>
      </c>
      <c r="G12" s="17"/>
      <c r="I12">
        <v>57.8062950502337</v>
      </c>
      <c r="K12">
        <f t="shared" si="0"/>
        <v>0.43932784238177613</v>
      </c>
    </row>
    <row r="13" spans="1:11" x14ac:dyDescent="0.2">
      <c r="A13" s="13"/>
      <c r="B13" s="4" t="s">
        <v>38</v>
      </c>
      <c r="C13" s="4"/>
      <c r="D13" s="4"/>
      <c r="E13" s="4"/>
      <c r="F13" s="17">
        <v>4.9399999999999993E-2</v>
      </c>
      <c r="G13" s="4"/>
      <c r="I13">
        <v>16.9049291313876</v>
      </c>
      <c r="K13">
        <f t="shared" si="0"/>
        <v>0.83510349909054737</v>
      </c>
    </row>
    <row r="14" spans="1:11" x14ac:dyDescent="0.2">
      <c r="A14" s="14"/>
      <c r="B14" s="15"/>
      <c r="C14" s="15" t="s">
        <v>39</v>
      </c>
      <c r="D14" s="15"/>
      <c r="E14" s="15"/>
      <c r="F14" s="12"/>
      <c r="G14" s="12">
        <v>3.95E-2</v>
      </c>
    </row>
    <row r="15" spans="1:11" x14ac:dyDescent="0.2">
      <c r="K15" t="s">
        <v>47</v>
      </c>
    </row>
    <row r="16" spans="1:11" x14ac:dyDescent="0.2">
      <c r="K16">
        <f>SUM(K2:K13)</f>
        <v>25.316455696202546</v>
      </c>
    </row>
    <row r="17" spans="1:11" x14ac:dyDescent="0.2">
      <c r="K17" t="s">
        <v>46</v>
      </c>
    </row>
    <row r="18" spans="1:11" x14ac:dyDescent="0.2">
      <c r="K18">
        <f>G14*K16</f>
        <v>1.0000000000000007</v>
      </c>
    </row>
    <row r="19" spans="1:11" x14ac:dyDescent="0.2">
      <c r="A19" s="16" t="s">
        <v>24</v>
      </c>
      <c r="B19" s="4"/>
      <c r="C19" s="4"/>
      <c r="D19" s="4"/>
      <c r="E19" s="4">
        <v>2005</v>
      </c>
      <c r="F19" s="4"/>
      <c r="G19" s="4"/>
    </row>
    <row r="20" spans="1:11" x14ac:dyDescent="0.2">
      <c r="A20" s="13"/>
      <c r="B20" s="4" t="s">
        <v>27</v>
      </c>
      <c r="C20" s="4"/>
      <c r="D20" s="4"/>
      <c r="E20" s="4"/>
      <c r="F20" s="4">
        <v>0.30590000000000001</v>
      </c>
      <c r="G20" s="4"/>
    </row>
    <row r="21" spans="1:11" x14ac:dyDescent="0.2">
      <c r="A21" s="13"/>
      <c r="B21" s="4" t="s">
        <v>28</v>
      </c>
      <c r="C21" s="4"/>
      <c r="D21" s="4"/>
      <c r="E21" s="4"/>
      <c r="F21" s="4">
        <v>0.30590000000000001</v>
      </c>
      <c r="G21" s="4"/>
    </row>
    <row r="22" spans="1:11" x14ac:dyDescent="0.2">
      <c r="A22" s="13"/>
      <c r="B22" s="4" t="s">
        <v>29</v>
      </c>
      <c r="C22" s="4"/>
      <c r="D22" s="4"/>
      <c r="E22" s="4"/>
      <c r="F22" s="4">
        <v>0.38855000000000001</v>
      </c>
      <c r="G22" s="4"/>
    </row>
    <row r="23" spans="1:11" x14ac:dyDescent="0.2">
      <c r="A23" s="13"/>
      <c r="B23" s="4" t="s">
        <v>30</v>
      </c>
      <c r="C23" s="4"/>
      <c r="D23" s="4"/>
      <c r="E23" s="4"/>
      <c r="F23" s="4">
        <v>0.30590000000000001</v>
      </c>
      <c r="G23" s="4"/>
    </row>
    <row r="24" spans="1:11" x14ac:dyDescent="0.2">
      <c r="A24" s="13"/>
      <c r="B24" s="4" t="s">
        <v>31</v>
      </c>
      <c r="C24" s="4"/>
      <c r="D24" s="4"/>
      <c r="E24" s="4"/>
      <c r="F24" s="4">
        <v>0.30590000000000001</v>
      </c>
      <c r="G24" s="4"/>
    </row>
    <row r="25" spans="1:11" x14ac:dyDescent="0.2">
      <c r="A25" s="13"/>
      <c r="B25" s="4" t="s">
        <v>32</v>
      </c>
      <c r="C25" s="4"/>
      <c r="D25" s="4"/>
      <c r="E25" s="4"/>
      <c r="F25" s="4">
        <v>0.30590000000000001</v>
      </c>
      <c r="G25" s="4"/>
    </row>
    <row r="26" spans="1:11" x14ac:dyDescent="0.2">
      <c r="A26" s="13"/>
      <c r="B26" s="4" t="s">
        <v>33</v>
      </c>
      <c r="C26" s="4"/>
      <c r="D26" s="4"/>
      <c r="E26" s="4"/>
      <c r="F26" s="4">
        <v>0.30590000000000001</v>
      </c>
      <c r="G26" s="4"/>
    </row>
    <row r="27" spans="1:11" x14ac:dyDescent="0.2">
      <c r="A27" s="13"/>
      <c r="B27" s="4" t="s">
        <v>34</v>
      </c>
      <c r="C27" s="4"/>
      <c r="D27" s="4"/>
      <c r="E27" s="4"/>
      <c r="F27" s="4">
        <v>0.30590000000000001</v>
      </c>
      <c r="G27" s="4"/>
    </row>
    <row r="28" spans="1:11" x14ac:dyDescent="0.2">
      <c r="A28" s="13"/>
      <c r="B28" s="4" t="s">
        <v>35</v>
      </c>
      <c r="C28" s="4"/>
      <c r="D28" s="4"/>
      <c r="E28" s="4"/>
      <c r="F28" s="4">
        <v>9.7849999999999993E-2</v>
      </c>
      <c r="G28" s="4"/>
    </row>
    <row r="29" spans="1:11" x14ac:dyDescent="0.2">
      <c r="A29" s="13"/>
      <c r="B29" s="4" t="s">
        <v>36</v>
      </c>
      <c r="C29" s="4"/>
      <c r="D29" s="4"/>
      <c r="E29" s="4"/>
      <c r="F29" s="4">
        <v>9.7849999999999993E-2</v>
      </c>
      <c r="G29" s="4"/>
    </row>
    <row r="30" spans="1:11" x14ac:dyDescent="0.2">
      <c r="A30" s="13"/>
      <c r="B30" s="4" t="s">
        <v>37</v>
      </c>
      <c r="C30" s="4"/>
      <c r="D30" s="4"/>
      <c r="E30" s="4"/>
      <c r="F30" s="4">
        <v>1.1875E-2</v>
      </c>
      <c r="G30" s="4"/>
    </row>
    <row r="31" spans="1:11" x14ac:dyDescent="0.2">
      <c r="A31" s="13"/>
      <c r="B31" s="4" t="s">
        <v>38</v>
      </c>
      <c r="C31" s="4"/>
      <c r="D31" s="4"/>
      <c r="E31" s="4"/>
      <c r="F31" s="4">
        <v>8.8349999999999998E-2</v>
      </c>
      <c r="G31" s="4"/>
    </row>
    <row r="32" spans="1:11" x14ac:dyDescent="0.2">
      <c r="A32" s="14"/>
      <c r="B32" s="15"/>
      <c r="C32" s="15" t="s">
        <v>43</v>
      </c>
      <c r="D32" s="15"/>
      <c r="E32" s="15"/>
      <c r="F32" s="15"/>
      <c r="G32" s="15">
        <v>2.3E-2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8d6b01-37ca-4db4-bc7f-9b68f32c58b8" xsi:nil="true"/>
    <lcf76f155ced4ddcb4097134ff3c332f xmlns="8acd6055-54fc-4ce7-b3df-0a09834a032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CDA050-ACB1-4757-A444-D5206E780B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140F9D-34E6-48A4-B2AC-8BFCDECC6F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ADC56F-6F99-416D-857C-9326ECC3E5CA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  <ds:schemaRef ds:uri="708d6b01-37ca-4db4-bc7f-9b68f32c58b8"/>
    <ds:schemaRef ds:uri="8acd6055-54fc-4ce7-b3df-0a09834a0329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PRI_ELC</vt:lpstr>
      <vt:lpstr>Arkusz1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dcterms:created xsi:type="dcterms:W3CDTF">2005-06-03T09:41:13Z</dcterms:created>
  <dcterms:modified xsi:type="dcterms:W3CDTF">2026-09-21T11:46:57Z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SaveCode">
    <vt:r8>846046090126037</vt:r8>
  </property>
  <property fmtid="{D5CDD505-2E9C-101B-9397-08002B2CF9AE}" pid="4" name="MediaServiceImageTags">
    <vt:lpwstr/>
  </property>
</Properties>
</file>